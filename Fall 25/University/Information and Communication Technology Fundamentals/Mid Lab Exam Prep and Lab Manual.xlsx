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Information and Communication Technology Fundamentals\"/>
    </mc:Choice>
  </mc:AlternateContent>
  <bookViews>
    <workbookView xWindow="0" yWindow="0" windowWidth="19200" windowHeight="8130" activeTab="1"/>
  </bookViews>
  <sheets>
    <sheet name="Chart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E34" i="1" s="1"/>
  <c r="G31" i="1"/>
  <c r="G34" i="1" s="1"/>
  <c r="H31" i="1"/>
  <c r="H34" i="1" s="1"/>
  <c r="I31" i="1"/>
  <c r="I34" i="1" s="1"/>
  <c r="F32" i="1"/>
  <c r="E32" i="1"/>
  <c r="G32" i="1"/>
  <c r="H32" i="1"/>
  <c r="I32" i="1"/>
  <c r="J32" i="1"/>
  <c r="K32" i="1"/>
  <c r="L32" i="1"/>
  <c r="M32" i="1"/>
  <c r="J34" i="1"/>
  <c r="K34" i="1"/>
  <c r="L34" i="1"/>
  <c r="M34" i="1"/>
  <c r="M29" i="1"/>
  <c r="M28" i="1"/>
  <c r="M27" i="1"/>
  <c r="G27" i="1"/>
  <c r="G28" i="1"/>
  <c r="E29" i="1"/>
  <c r="F29" i="1"/>
  <c r="G29" i="1"/>
  <c r="E18" i="1"/>
  <c r="E19" i="1"/>
  <c r="E20" i="1"/>
  <c r="E17" i="1"/>
  <c r="G18" i="1"/>
  <c r="G19" i="1"/>
  <c r="G20" i="1"/>
  <c r="G17" i="1"/>
  <c r="D22" i="1"/>
  <c r="F28" i="1"/>
  <c r="F27" i="1"/>
  <c r="F30" i="1"/>
  <c r="L18" i="1"/>
  <c r="L19" i="1"/>
  <c r="L20" i="1"/>
  <c r="L21" i="1"/>
  <c r="L22" i="1"/>
  <c r="L23" i="1"/>
  <c r="F31" i="1"/>
  <c r="J29" i="1"/>
  <c r="H29" i="1"/>
  <c r="J27" i="1"/>
  <c r="I28" i="1"/>
  <c r="I27" i="1"/>
  <c r="H28" i="1"/>
  <c r="J28" i="1"/>
  <c r="H27" i="1"/>
  <c r="F24" i="1"/>
  <c r="D20" i="1"/>
  <c r="D23" i="1"/>
  <c r="D19" i="1"/>
  <c r="D21" i="1"/>
  <c r="D17" i="1"/>
  <c r="M18" i="1"/>
  <c r="M19" i="1"/>
  <c r="M20" i="1"/>
  <c r="M21" i="1"/>
  <c r="G21" i="1" s="1"/>
  <c r="M22" i="1"/>
  <c r="G22" i="1" s="1"/>
  <c r="E22" i="1" s="1"/>
  <c r="M23" i="1"/>
  <c r="G23" i="1" s="1"/>
  <c r="E23" i="1" s="1"/>
  <c r="M17" i="1"/>
  <c r="L17" i="1"/>
  <c r="I18" i="1"/>
  <c r="I19" i="1"/>
  <c r="I20" i="1"/>
  <c r="I21" i="1"/>
  <c r="I22" i="1"/>
  <c r="I23" i="1"/>
  <c r="I17" i="1"/>
  <c r="K13" i="1"/>
  <c r="J13" i="1"/>
  <c r="I13" i="1"/>
  <c r="H13" i="1"/>
  <c r="B13" i="1"/>
  <c r="B12" i="1"/>
  <c r="F34" i="1" l="1"/>
  <c r="E28" i="1"/>
  <c r="E27" i="1"/>
  <c r="E21" i="1"/>
  <c r="E24" i="1" s="1"/>
  <c r="G24" i="1"/>
  <c r="M24" i="1"/>
  <c r="I24" i="1"/>
  <c r="I29" i="1"/>
  <c r="D18" i="1"/>
  <c r="D24" i="1" s="1"/>
</calcChain>
</file>

<file path=xl/sharedStrings.xml><?xml version="1.0" encoding="utf-8"?>
<sst xmlns="http://schemas.openxmlformats.org/spreadsheetml/2006/main" count="56" uniqueCount="55">
  <si>
    <t>Days</t>
  </si>
  <si>
    <t>Sales</t>
  </si>
  <si>
    <t>Monday</t>
  </si>
  <si>
    <t>Tuesday</t>
  </si>
  <si>
    <t>Wednesday</t>
  </si>
  <si>
    <t>Thursday</t>
  </si>
  <si>
    <t>Friday</t>
  </si>
  <si>
    <t>Saturday</t>
  </si>
  <si>
    <t>Sunday</t>
  </si>
  <si>
    <t>Total of a week</t>
  </si>
  <si>
    <t>Average sales per day</t>
  </si>
  <si>
    <t>Week 3 - Sales</t>
  </si>
  <si>
    <t>A</t>
  </si>
  <si>
    <t>B</t>
  </si>
  <si>
    <t>C</t>
  </si>
  <si>
    <t>D</t>
  </si>
  <si>
    <t>IF FUNCTION</t>
  </si>
  <si>
    <t>Min</t>
  </si>
  <si>
    <t>Max</t>
  </si>
  <si>
    <t>Date</t>
  </si>
  <si>
    <t>Price List By Date - ABCKoin</t>
  </si>
  <si>
    <t>Action</t>
  </si>
  <si>
    <t>Mid</t>
  </si>
  <si>
    <t>Invested Amount</t>
  </si>
  <si>
    <t>Quantity</t>
  </si>
  <si>
    <t>Total</t>
  </si>
  <si>
    <t>MIN</t>
  </si>
  <si>
    <t>Average</t>
  </si>
  <si>
    <t>Count</t>
  </si>
  <si>
    <t>Buy</t>
  </si>
  <si>
    <t>Sell</t>
  </si>
  <si>
    <t>CountIfs</t>
  </si>
  <si>
    <t>CountIf</t>
  </si>
  <si>
    <t>Returned Amount</t>
  </si>
  <si>
    <t>Profit/coin</t>
  </si>
  <si>
    <t>All qty profit</t>
  </si>
  <si>
    <t>CountA</t>
  </si>
  <si>
    <t>Count Empaty Cells</t>
  </si>
  <si>
    <t>The Highlited Cells are Empaty</t>
  </si>
  <si>
    <t>1 to 4</t>
  </si>
  <si>
    <t>5 to 8</t>
  </si>
  <si>
    <t>9 and 10</t>
  </si>
  <si>
    <t>above 10</t>
  </si>
  <si>
    <t>below 1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</si>
  <si>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</si>
  <si>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</si>
  <si>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</si>
  <si>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</si>
  <si>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</si>
  <si>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</si>
  <si>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</si>
  <si>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</si>
  <si>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</si>
  <si>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</si>
  <si>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Range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</si>
</sst>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2" borderId="2" xfId="0" applyFont="1" applyFill="1" applyBorder="1"/>
    <xf numFmtId="0" fontId="1" fillId="4" borderId="2" xfId="0" applyFont="1" applyFill="1" applyBorder="1"/>
    <xf numFmtId="1" fontId="1" fillId="4" borderId="2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>
      <alignment horizontal="center" vertical="center"/>
    </xf>
    <xf numFmtId="15" fontId="0" fillId="0" borderId="0" xfId="0" applyNumberFormat="1"/>
    <xf numFmtId="0" fontId="0" fillId="0" borderId="2" xfId="0" applyBorder="1" applyAlignment="1">
      <alignment horizontal="center" vertical="center"/>
    </xf>
    <xf numFmtId="15" fontId="0" fillId="0" borderId="2" xfId="0" applyNumberFormat="1" applyBorder="1"/>
    <xf numFmtId="169" fontId="0" fillId="0" borderId="2" xfId="0" applyNumberFormat="1" applyBorder="1"/>
    <xf numFmtId="0" fontId="0" fillId="0" borderId="2" xfId="0" applyFill="1" applyBorder="1"/>
    <xf numFmtId="169" fontId="0" fillId="0" borderId="2" xfId="0" applyNumberFormat="1" applyFill="1" applyBorder="1"/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23"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Sheet1!$D$15:$N$23</c:f>
              <c:multiLvlStrCache>
                <c:ptCount val="10"/>
                <c:lvl>
                  <c:pt idx="0">
                    <c:v>693</c:v>
                  </c:pt>
                  <c:pt idx="1">
                    <c:v>1000.0</c:v>
                  </c:pt>
                  <c:pt idx="2">
                    <c:v>1000</c:v>
                  </c:pt>
                  <c:pt idx="3">
                    <c:v>2000.0</c:v>
                  </c:pt>
                  <c:pt idx="4">
                    <c:v>573</c:v>
                  </c:pt>
                  <c:pt idx="5">
                    <c:v>693</c:v>
                  </c:pt>
                  <c:pt idx="6">
                    <c:v>813</c:v>
                  </c:pt>
                  <c:pt idx="7">
                    <c:v>7-Nov-24</c:v>
                  </c:pt>
                  <c:pt idx="8">
                    <c:v>SALE</c:v>
                  </c:pt>
                  <c:pt idx="9">
                    <c:v>1.4</c:v>
                  </c:pt>
                </c:lvl>
                <c:lvl>
                  <c:pt idx="0">
                    <c:v>148</c:v>
                  </c:pt>
                  <c:pt idx="1">
                    <c:v>271.6</c:v>
                  </c:pt>
                  <c:pt idx="2">
                    <c:v>1000</c:v>
                  </c:pt>
                  <c:pt idx="3">
                    <c:v>1271.6</c:v>
                  </c:pt>
                  <c:pt idx="4">
                    <c:v>319</c:v>
                  </c:pt>
                  <c:pt idx="5">
                    <c:v>545</c:v>
                  </c:pt>
                  <c:pt idx="6">
                    <c:v>771</c:v>
                  </c:pt>
                  <c:pt idx="7">
                    <c:v>6-Nov-24</c:v>
                  </c:pt>
                  <c:pt idx="8">
                    <c:v>SALE</c:v>
                  </c:pt>
                  <c:pt idx="9">
                    <c:v>1.8</c:v>
                  </c:pt>
                </c:lvl>
                <c:lvl>
                  <c:pt idx="0">
                    <c:v>121</c:v>
                  </c:pt>
                  <c:pt idx="1">
                    <c:v>285.4</c:v>
                  </c:pt>
                  <c:pt idx="2">
                    <c:v>1000</c:v>
                  </c:pt>
                  <c:pt idx="3">
                    <c:v>1285.4</c:v>
                  </c:pt>
                  <c:pt idx="4">
                    <c:v>417</c:v>
                  </c:pt>
                  <c:pt idx="5">
                    <c:v>424</c:v>
                  </c:pt>
                  <c:pt idx="6">
                    <c:v>431</c:v>
                  </c:pt>
                  <c:pt idx="7">
                    <c:v>5-Nov-24</c:v>
                  </c:pt>
                  <c:pt idx="8">
                    <c:v>BUY</c:v>
                  </c:pt>
                  <c:pt idx="9">
                    <c:v>2.4</c:v>
                  </c:pt>
                </c:lvl>
                <c:lvl>
                  <c:pt idx="0">
                    <c:v>-31</c:v>
                  </c:pt>
                  <c:pt idx="1">
                    <c:v>-68.1</c:v>
                  </c:pt>
                  <c:pt idx="2">
                    <c:v>1000</c:v>
                  </c:pt>
                  <c:pt idx="3">
                    <c:v>931.9</c:v>
                  </c:pt>
                  <c:pt idx="4">
                    <c:v>399</c:v>
                  </c:pt>
                  <c:pt idx="5">
                    <c:v>455</c:v>
                  </c:pt>
                  <c:pt idx="6">
                    <c:v>511</c:v>
                  </c:pt>
                  <c:pt idx="7">
                    <c:v>4-Nov-24</c:v>
                  </c:pt>
                  <c:pt idx="8">
                    <c:v>BUY</c:v>
                  </c:pt>
                  <c:pt idx="9">
                    <c:v>2.2</c:v>
                  </c:pt>
                </c:lvl>
                <c:lvl>
                  <c:pt idx="0">
                    <c:v>194</c:v>
                  </c:pt>
                  <c:pt idx="1">
                    <c:v>743.3</c:v>
                  </c:pt>
                  <c:pt idx="2">
                    <c:v>1000</c:v>
                  </c:pt>
                  <c:pt idx="3">
                    <c:v>1743.3</c:v>
                  </c:pt>
                  <c:pt idx="4">
                    <c:v>251</c:v>
                  </c:pt>
                  <c:pt idx="5">
                    <c:v>261</c:v>
                  </c:pt>
                  <c:pt idx="6">
                    <c:v>271</c:v>
                  </c:pt>
                  <c:pt idx="7">
                    <c:v>3-Nov-24</c:v>
                  </c:pt>
                  <c:pt idx="8">
                    <c:v>BUY</c:v>
                  </c:pt>
                  <c:pt idx="9">
                    <c:v>3.8</c:v>
                  </c:pt>
                </c:lvl>
                <c:lvl>
                  <c:pt idx="0">
                    <c:v>18.5</c:v>
                  </c:pt>
                  <c:pt idx="1">
                    <c:v>76.3</c:v>
                  </c:pt>
                  <c:pt idx="2">
                    <c:v>1000</c:v>
                  </c:pt>
                  <c:pt idx="3">
                    <c:v>1076.3</c:v>
                  </c:pt>
                  <c:pt idx="4">
                    <c:v>150</c:v>
                  </c:pt>
                  <c:pt idx="5">
                    <c:v>242.5</c:v>
                  </c:pt>
                  <c:pt idx="6">
                    <c:v>335</c:v>
                  </c:pt>
                  <c:pt idx="7">
                    <c:v>2-Nov-24</c:v>
                  </c:pt>
                  <c:pt idx="8">
                    <c:v>BUY</c:v>
                  </c:pt>
                  <c:pt idx="9">
                    <c:v>4.1</c:v>
                  </c:pt>
                </c:lvl>
                <c:lvl>
                  <c:pt idx="0">
                    <c:v>48.5</c:v>
                  </c:pt>
                  <c:pt idx="1">
                    <c:v>250.0</c:v>
                  </c:pt>
                  <c:pt idx="2">
                    <c:v>1000</c:v>
                  </c:pt>
                  <c:pt idx="3">
                    <c:v>1250.0</c:v>
                  </c:pt>
                  <c:pt idx="4">
                    <c:v>177</c:v>
                  </c:pt>
                  <c:pt idx="5">
                    <c:v>194</c:v>
                  </c:pt>
                  <c:pt idx="6">
                    <c:v>211</c:v>
                  </c:pt>
                  <c:pt idx="7">
                    <c:v>1-Nov-24</c:v>
                  </c:pt>
                  <c:pt idx="8">
                    <c:v>BUY</c:v>
                  </c:pt>
                  <c:pt idx="9">
                    <c:v>5.2</c:v>
                  </c:pt>
                </c:lvl>
                <c:lvl>
                  <c:pt idx="0">
                    <c:v>Profit/coin</c:v>
                  </c:pt>
                  <c:pt idx="1">
                    <c:v>All qty profit</c:v>
                  </c:pt>
                  <c:pt idx="2">
                    <c:v>Invested Amount</c:v>
                  </c:pt>
                  <c:pt idx="3">
                    <c:v>Returned Amount</c:v>
                  </c:pt>
                  <c:pt idx="4">
                    <c:v>Min</c:v>
                  </c:pt>
                  <c:pt idx="5">
                    <c:v>Mid</c:v>
                  </c:pt>
                  <c:pt idx="6">
                    <c:v>Max</c:v>
                  </c:pt>
                  <c:pt idx="7">
                    <c:v>Date</c:v>
                  </c:pt>
                  <c:pt idx="8">
                    <c:v>Action</c:v>
                  </c:pt>
                  <c:pt idx="9">
                    <c:v>Quantity</c:v>
                  </c:pt>
                </c:lvl>
                <c:lvl>
                  <c:pt idx="0">
                    <c:v>Price List By Date - ABCKoin</c:v>
                  </c:pt>
                </c:lvl>
              </c:multiLvlStrCache>
            </c:multiLvlStrRef>
          </c:cat>
          <c:val>
            <c:numRef>
              <c:f>Sheet1!$D$24:$N$24</c:f>
              <c:numCache>
                <c:formatCode>0.0</c:formatCode>
                <c:ptCount val="11"/>
                <c:pt idx="0" formatCode="General">
                  <c:v>1192</c:v>
                </c:pt>
                <c:pt idx="1">
                  <c:v>2558.3888023371237</c:v>
                </c:pt>
                <c:pt idx="2" formatCode="General">
                  <c:v>7000</c:v>
                </c:pt>
                <c:pt idx="3">
                  <c:v>9558.3888023371219</c:v>
                </c:pt>
                <c:pt idx="5" formatCode="General">
                  <c:v>2814.5</c:v>
                </c:pt>
                <c:pt idx="9">
                  <c:v>20.943924732147469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6-44BF-A82E-C5F1866A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990256"/>
        <c:axId val="1112997328"/>
      </c:barChart>
      <c:catAx>
        <c:axId val="11129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97328"/>
        <c:crosses val="autoZero"/>
        <c:auto val="1"/>
        <c:lblAlgn val="ctr"/>
        <c:lblOffset val="100"/>
        <c:noMultiLvlLbl val="0"/>
      </c:catAx>
      <c:valAx>
        <c:axId val="11129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topLeftCell="A37" workbookViewId="0">
      <selection activeCell="M43" sqref="M43"/>
    </sheetView>
  </sheetViews>
  <sheetFormatPr defaultRowHeight="15" x14ac:dyDescent="0.25"/>
  <cols>
    <col min="1" max="1" width="21.85546875" customWidth="1"/>
    <col min="2" max="2" width="10.85546875" customWidth="1"/>
    <col min="6" max="7" width="10.5703125" customWidth="1"/>
    <col min="11" max="11" width="9.7109375" customWidth="1"/>
  </cols>
  <sheetData>
    <row r="1" spans="1:13" x14ac:dyDescent="0.25">
      <c r="A1" s="8" t="s">
        <v>11</v>
      </c>
      <c r="B1" s="8"/>
    </row>
    <row r="2" spans="1:13" x14ac:dyDescent="0.25">
      <c r="A2" s="4" t="s">
        <v>0</v>
      </c>
      <c r="B2" s="4" t="s">
        <v>1</v>
      </c>
    </row>
    <row r="3" spans="1:13" x14ac:dyDescent="0.25">
      <c r="A3" s="3" t="s">
        <v>2</v>
      </c>
      <c r="B3" s="3">
        <v>113</v>
      </c>
    </row>
    <row r="4" spans="1:13" x14ac:dyDescent="0.25">
      <c r="A4" s="3" t="s">
        <v>3</v>
      </c>
      <c r="B4" s="3">
        <v>79</v>
      </c>
    </row>
    <row r="5" spans="1:13" hidden="1" x14ac:dyDescent="0.25">
      <c r="A5" s="3" t="s">
        <v>4</v>
      </c>
      <c r="B5" s="3">
        <v>151</v>
      </c>
      <c r="F5" s="9"/>
      <c r="G5" s="9"/>
      <c r="H5" s="2"/>
    </row>
    <row r="6" spans="1:13" x14ac:dyDescent="0.25">
      <c r="A6" s="3" t="s">
        <v>5</v>
      </c>
      <c r="B6" s="3">
        <v>171</v>
      </c>
    </row>
    <row r="7" spans="1:13" x14ac:dyDescent="0.25">
      <c r="A7" s="3" t="s">
        <v>6</v>
      </c>
      <c r="B7" s="3">
        <v>129</v>
      </c>
    </row>
    <row r="8" spans="1:13" x14ac:dyDescent="0.25">
      <c r="A8" s="3" t="s">
        <v>7</v>
      </c>
      <c r="B8" s="3">
        <v>579</v>
      </c>
    </row>
    <row r="9" spans="1:13" x14ac:dyDescent="0.25">
      <c r="A9" s="3" t="s">
        <v>8</v>
      </c>
      <c r="B9" s="3">
        <v>947</v>
      </c>
      <c r="H9" s="7" t="s">
        <v>16</v>
      </c>
      <c r="I9" s="7"/>
      <c r="J9" s="7"/>
    </row>
    <row r="10" spans="1:13" x14ac:dyDescent="0.25">
      <c r="A10" s="3"/>
      <c r="B10" s="3"/>
      <c r="F10" s="1"/>
      <c r="G10" s="1"/>
      <c r="H10" s="10" t="s">
        <v>12</v>
      </c>
      <c r="I10" s="10" t="s">
        <v>13</v>
      </c>
      <c r="J10" s="10" t="s">
        <v>14</v>
      </c>
      <c r="K10" s="10" t="s">
        <v>15</v>
      </c>
    </row>
    <row r="11" spans="1:13" x14ac:dyDescent="0.25">
      <c r="A11" s="3"/>
      <c r="B11" s="3"/>
      <c r="F11" s="1"/>
      <c r="G11" s="1"/>
      <c r="H11" s="3"/>
      <c r="I11" s="3"/>
      <c r="J11" s="3"/>
      <c r="K11" s="3"/>
    </row>
    <row r="12" spans="1:13" x14ac:dyDescent="0.25">
      <c r="A12" s="5" t="s">
        <v>9</v>
      </c>
      <c r="B12" s="5">
        <f>SUM(B3:B9)</f>
        <v>2169</v>
      </c>
      <c r="F12" s="1"/>
      <c r="G12" s="1"/>
      <c r="H12" s="3"/>
      <c r="I12" s="3"/>
      <c r="J12" s="3"/>
      <c r="K12" s="3"/>
    </row>
    <row r="13" spans="1:13" x14ac:dyDescent="0.25">
      <c r="A13" s="5" t="s">
        <v>10</v>
      </c>
      <c r="B13" s="6">
        <f>AVERAGE(B3:B9)</f>
        <v>309.85714285714283</v>
      </c>
      <c r="F13" s="1"/>
      <c r="G13" s="1"/>
      <c r="H13" s="3" t="str">
        <f>IF(H10="C","it is C",IF(H10="A","it is A",IF(H10="B","it is B",IF(H10="D","it is D", "non the A or B"))))</f>
        <v>it is A</v>
      </c>
      <c r="I13" s="3" t="str">
        <f t="shared" ref="I13:K13" si="0">IF(I10="C","it is C",IF(I10="A","it is A",IF(I10="B","it is B",IF(I10="D","it is D", "non the A or B"))))</f>
        <v>it is B</v>
      </c>
      <c r="J13" s="3" t="str">
        <f t="shared" si="0"/>
        <v>it is C</v>
      </c>
      <c r="K13" s="3" t="str">
        <f t="shared" si="0"/>
        <v>it is D</v>
      </c>
    </row>
    <row r="15" spans="1:13" x14ac:dyDescent="0.25">
      <c r="D15" s="12" t="s">
        <v>20</v>
      </c>
      <c r="E15" s="12"/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D16" s="3" t="s">
        <v>34</v>
      </c>
      <c r="E16" s="3" t="s">
        <v>35</v>
      </c>
      <c r="F16" s="3" t="s">
        <v>23</v>
      </c>
      <c r="G16" s="3" t="s">
        <v>33</v>
      </c>
      <c r="H16" s="3" t="s">
        <v>17</v>
      </c>
      <c r="I16" s="3" t="s">
        <v>22</v>
      </c>
      <c r="J16" s="3" t="s">
        <v>18</v>
      </c>
      <c r="K16" s="3" t="s">
        <v>19</v>
      </c>
      <c r="L16" s="3" t="s">
        <v>21</v>
      </c>
      <c r="M16" s="3" t="s">
        <v>24</v>
      </c>
    </row>
    <row r="17" spans="3:13" x14ac:dyDescent="0.25">
      <c r="D17" s="3">
        <f>I18-I17</f>
        <v>48.5</v>
      </c>
      <c r="E17" s="14">
        <f>G17-F17</f>
        <v>250</v>
      </c>
      <c r="F17" s="3">
        <v>1000</v>
      </c>
      <c r="G17" s="14">
        <f>(D17*M17)+F17</f>
        <v>1250</v>
      </c>
      <c r="H17" s="3">
        <v>177</v>
      </c>
      <c r="I17" s="3">
        <f>AVERAGE(H17,J17)</f>
        <v>194</v>
      </c>
      <c r="J17" s="3">
        <v>211</v>
      </c>
      <c r="K17" s="13">
        <v>45597</v>
      </c>
      <c r="L17" s="3" t="str">
        <f>IF(I17&lt;(J17-100),"SALE","BUY")</f>
        <v>BUY</v>
      </c>
      <c r="M17" s="14">
        <f>F17/I17</f>
        <v>5.1546391752577323</v>
      </c>
    </row>
    <row r="18" spans="3:13" x14ac:dyDescent="0.25">
      <c r="D18" s="3">
        <f>I19-I18</f>
        <v>18.5</v>
      </c>
      <c r="E18" s="14">
        <f t="shared" ref="E18:E23" si="1">G18-F18</f>
        <v>76.288659793814531</v>
      </c>
      <c r="F18" s="3">
        <v>1000</v>
      </c>
      <c r="G18" s="14">
        <f t="shared" ref="G18:G23" si="2">(D18*M18)+F18</f>
        <v>1076.2886597938145</v>
      </c>
      <c r="H18" s="3">
        <v>150</v>
      </c>
      <c r="I18" s="3">
        <f t="shared" ref="I18:I23" si="3">AVERAGE(H18,J18)</f>
        <v>242.5</v>
      </c>
      <c r="J18" s="3">
        <v>335</v>
      </c>
      <c r="K18" s="13">
        <v>45598</v>
      </c>
      <c r="L18" s="3" t="str">
        <f t="shared" ref="L18:L23" si="4">IF(I18&lt;(J18-100),"SALE","BUY")</f>
        <v>BUY</v>
      </c>
      <c r="M18" s="14">
        <f t="shared" ref="M18:M23" si="5">F18/I18</f>
        <v>4.1237113402061851</v>
      </c>
    </row>
    <row r="19" spans="3:13" x14ac:dyDescent="0.25">
      <c r="D19" s="3">
        <f>I20-I19</f>
        <v>194</v>
      </c>
      <c r="E19" s="14">
        <f t="shared" si="1"/>
        <v>743.29501915708806</v>
      </c>
      <c r="F19" s="3">
        <v>1000</v>
      </c>
      <c r="G19" s="14">
        <f t="shared" si="2"/>
        <v>1743.2950191570881</v>
      </c>
      <c r="H19" s="3">
        <v>251</v>
      </c>
      <c r="I19" s="3">
        <f t="shared" si="3"/>
        <v>261</v>
      </c>
      <c r="J19" s="3">
        <v>271</v>
      </c>
      <c r="K19" s="13">
        <v>45599</v>
      </c>
      <c r="L19" s="3" t="str">
        <f t="shared" si="4"/>
        <v>BUY</v>
      </c>
      <c r="M19" s="14">
        <f t="shared" si="5"/>
        <v>3.8314176245210727</v>
      </c>
    </row>
    <row r="20" spans="3:13" x14ac:dyDescent="0.25">
      <c r="D20" s="3">
        <f>I21-I20</f>
        <v>-31</v>
      </c>
      <c r="E20" s="14">
        <f t="shared" si="1"/>
        <v>-68.131868131868146</v>
      </c>
      <c r="F20" s="3">
        <v>1000</v>
      </c>
      <c r="G20" s="14">
        <f t="shared" si="2"/>
        <v>931.86813186813185</v>
      </c>
      <c r="H20" s="3">
        <v>399</v>
      </c>
      <c r="I20" s="3">
        <f t="shared" si="3"/>
        <v>455</v>
      </c>
      <c r="J20" s="3">
        <v>511</v>
      </c>
      <c r="K20" s="13">
        <v>45600</v>
      </c>
      <c r="L20" s="3" t="str">
        <f t="shared" si="4"/>
        <v>BUY</v>
      </c>
      <c r="M20" s="14">
        <f t="shared" si="5"/>
        <v>2.197802197802198</v>
      </c>
    </row>
    <row r="21" spans="3:13" x14ac:dyDescent="0.25">
      <c r="D21" s="3">
        <f>I22-I21</f>
        <v>121</v>
      </c>
      <c r="E21" s="14">
        <f t="shared" si="1"/>
        <v>285.37735849056617</v>
      </c>
      <c r="F21" s="3">
        <v>1000</v>
      </c>
      <c r="G21" s="14">
        <f t="shared" si="2"/>
        <v>1285.3773584905662</v>
      </c>
      <c r="H21" s="3">
        <v>417</v>
      </c>
      <c r="I21" s="3">
        <f t="shared" si="3"/>
        <v>424</v>
      </c>
      <c r="J21" s="3">
        <v>431</v>
      </c>
      <c r="K21" s="13">
        <v>45601</v>
      </c>
      <c r="L21" s="3" t="str">
        <f t="shared" si="4"/>
        <v>BUY</v>
      </c>
      <c r="M21" s="14">
        <f t="shared" si="5"/>
        <v>2.358490566037736</v>
      </c>
    </row>
    <row r="22" spans="3:13" x14ac:dyDescent="0.25">
      <c r="D22" s="3">
        <f>I23-I22</f>
        <v>148</v>
      </c>
      <c r="E22" s="14">
        <f t="shared" si="1"/>
        <v>271.55963302752298</v>
      </c>
      <c r="F22" s="3">
        <v>1000</v>
      </c>
      <c r="G22" s="14">
        <f t="shared" si="2"/>
        <v>1271.559633027523</v>
      </c>
      <c r="H22" s="3">
        <v>319</v>
      </c>
      <c r="I22" s="3">
        <f t="shared" si="3"/>
        <v>545</v>
      </c>
      <c r="J22" s="3">
        <v>771</v>
      </c>
      <c r="K22" s="13">
        <v>45602</v>
      </c>
      <c r="L22" s="3" t="str">
        <f t="shared" si="4"/>
        <v>SALE</v>
      </c>
      <c r="M22" s="14">
        <f t="shared" si="5"/>
        <v>1.834862385321101</v>
      </c>
    </row>
    <row r="23" spans="3:13" x14ac:dyDescent="0.25">
      <c r="D23" s="3">
        <f>I23</f>
        <v>693</v>
      </c>
      <c r="E23" s="14">
        <f t="shared" si="1"/>
        <v>1000</v>
      </c>
      <c r="F23" s="3">
        <v>1000</v>
      </c>
      <c r="G23" s="14">
        <f t="shared" si="2"/>
        <v>2000</v>
      </c>
      <c r="H23" s="3">
        <v>573</v>
      </c>
      <c r="I23" s="3">
        <f t="shared" si="3"/>
        <v>693</v>
      </c>
      <c r="J23" s="3">
        <v>813</v>
      </c>
      <c r="K23" s="13">
        <v>45603</v>
      </c>
      <c r="L23" s="3" t="str">
        <f t="shared" si="4"/>
        <v>SALE</v>
      </c>
      <c r="M23" s="14">
        <f t="shared" si="5"/>
        <v>1.4430014430014431</v>
      </c>
    </row>
    <row r="24" spans="3:13" x14ac:dyDescent="0.25">
      <c r="C24" t="s">
        <v>25</v>
      </c>
      <c r="D24" s="15">
        <f>SUM(D17:D23)</f>
        <v>1192</v>
      </c>
      <c r="E24" s="16">
        <f>SUM(E17:E23)</f>
        <v>2558.3888023371237</v>
      </c>
      <c r="F24" s="15">
        <f>SUM(F17:F23)</f>
        <v>7000</v>
      </c>
      <c r="G24" s="16">
        <f>SUM(G17:G23)</f>
        <v>9558.3888023371219</v>
      </c>
      <c r="H24" s="3"/>
      <c r="I24" s="15">
        <f>SUM(I17:I23)</f>
        <v>2814.5</v>
      </c>
      <c r="J24" s="3"/>
      <c r="K24" s="13"/>
      <c r="L24" s="3"/>
      <c r="M24" s="16">
        <f>SUM(M17:M23)</f>
        <v>20.943924732147469</v>
      </c>
    </row>
    <row r="25" spans="3:13" x14ac:dyDescent="0.25">
      <c r="K25" s="11"/>
    </row>
    <row r="26" spans="3:13" x14ac:dyDescent="0.25">
      <c r="K26" s="11"/>
    </row>
    <row r="27" spans="3:13" x14ac:dyDescent="0.25">
      <c r="D27" s="3" t="s">
        <v>26</v>
      </c>
      <c r="E27" s="3">
        <f>MIN(E17:E23)</f>
        <v>-68.131868131868146</v>
      </c>
      <c r="F27" s="3">
        <f>MIN(F17:F23)</f>
        <v>1000</v>
      </c>
      <c r="G27" s="3">
        <f>MIN(G17:G23)</f>
        <v>931.86813186813185</v>
      </c>
      <c r="H27" s="3">
        <f>MIN(H17:H23)</f>
        <v>150</v>
      </c>
      <c r="I27" s="3">
        <f>MIN(I17:I23)</f>
        <v>194</v>
      </c>
      <c r="J27" s="3">
        <f>MIN(J17:J23)</f>
        <v>211</v>
      </c>
      <c r="K27" s="3"/>
      <c r="L27" s="3"/>
      <c r="M27" s="14">
        <f>MIN(M17:M23)</f>
        <v>1.4430014430014431</v>
      </c>
    </row>
    <row r="28" spans="3:13" x14ac:dyDescent="0.25">
      <c r="D28" s="3" t="s">
        <v>18</v>
      </c>
      <c r="E28" s="3">
        <f>MAX(E17:E23)</f>
        <v>1000</v>
      </c>
      <c r="F28" s="3">
        <f>MAX(F17:F23)</f>
        <v>1000</v>
      </c>
      <c r="G28" s="3">
        <f>MAX(G17:G23)</f>
        <v>2000</v>
      </c>
      <c r="H28" s="3">
        <f>MAX(H17:H23)</f>
        <v>573</v>
      </c>
      <c r="I28" s="3">
        <f>MAX(I17:I23)</f>
        <v>693</v>
      </c>
      <c r="J28" s="3">
        <f>MAX(J17:J23)</f>
        <v>813</v>
      </c>
      <c r="K28" s="3"/>
      <c r="L28" s="3"/>
      <c r="M28" s="14">
        <f>MAX(M17:M23)</f>
        <v>5.1546391752577323</v>
      </c>
    </row>
    <row r="29" spans="3:13" x14ac:dyDescent="0.25">
      <c r="D29" s="3" t="s">
        <v>27</v>
      </c>
      <c r="E29" s="3">
        <f>AVERAGE(E17:E23)</f>
        <v>365.48411461958909</v>
      </c>
      <c r="F29" s="3">
        <f>AVERAGE(F17:F23)</f>
        <v>1000</v>
      </c>
      <c r="G29" s="14">
        <f>AVERAGE(G17:G23)</f>
        <v>1365.4841146195888</v>
      </c>
      <c r="H29" s="14">
        <f>AVERAGE(H17:H23)</f>
        <v>326.57142857142856</v>
      </c>
      <c r="I29" s="14">
        <f>AVERAGE(I17:I23)</f>
        <v>402.07142857142856</v>
      </c>
      <c r="J29" s="14">
        <f>AVERAGE(J17:J23)</f>
        <v>477.57142857142856</v>
      </c>
      <c r="K29" s="3"/>
      <c r="L29" s="3"/>
      <c r="M29" s="14">
        <f>AVERAGE(M17:M23)</f>
        <v>2.9919892474496383</v>
      </c>
    </row>
    <row r="30" spans="3:13" x14ac:dyDescent="0.25">
      <c r="D30" s="3" t="s">
        <v>28</v>
      </c>
      <c r="E30" s="3"/>
      <c r="F30" s="3">
        <f>COUNT(F17:F23)</f>
        <v>7</v>
      </c>
      <c r="G30" s="3"/>
      <c r="H30" s="3"/>
      <c r="I30" s="3"/>
      <c r="J30" s="3" t="s">
        <v>32</v>
      </c>
      <c r="K30" s="3" t="s">
        <v>29</v>
      </c>
      <c r="L30" s="3"/>
      <c r="M30" s="14"/>
    </row>
    <row r="31" spans="3:13" x14ac:dyDescent="0.25">
      <c r="D31" s="3" t="s">
        <v>31</v>
      </c>
      <c r="E31" s="3">
        <f>COUNTIFS(G17:I23,IF(G27&lt;200,MIN(G17:I23),"NO MIN"))</f>
        <v>0</v>
      </c>
      <c r="F31" s="3">
        <f>COUNTIFS(H17:J23,IF(H27&lt;200,MIN(H17:J23),"NO MIN"))</f>
        <v>1</v>
      </c>
      <c r="G31" s="3">
        <f t="shared" ref="G31:I31" si="6">COUNTIFS(I17:K23,IF(I27&lt;200,MIN(I17:K23),"NO MIN"))</f>
        <v>1</v>
      </c>
      <c r="H31" s="3">
        <f t="shared" si="6"/>
        <v>0</v>
      </c>
      <c r="I31" s="3">
        <f t="shared" si="6"/>
        <v>1</v>
      </c>
      <c r="J31" s="3"/>
      <c r="K31" s="3" t="s">
        <v>30</v>
      </c>
      <c r="L31" s="3"/>
      <c r="M31" s="3"/>
    </row>
    <row r="32" spans="3:13" x14ac:dyDescent="0.25">
      <c r="D32" s="3" t="s">
        <v>36</v>
      </c>
      <c r="E32" s="3">
        <f>COUNTA(E17:E23)</f>
        <v>7</v>
      </c>
      <c r="F32" s="3">
        <f>COUNTIFS(H18:J24,IF(H28&lt;200,MIN(H18:J24),"NO MIN"))</f>
        <v>0</v>
      </c>
      <c r="G32" s="3">
        <f t="shared" ref="G32:M32" si="7">COUNTA(G17:G23)</f>
        <v>7</v>
      </c>
      <c r="H32" s="3">
        <f t="shared" si="7"/>
        <v>7</v>
      </c>
      <c r="I32" s="3">
        <f t="shared" si="7"/>
        <v>7</v>
      </c>
      <c r="J32" s="3">
        <f t="shared" si="7"/>
        <v>7</v>
      </c>
      <c r="K32" s="3">
        <f t="shared" si="7"/>
        <v>7</v>
      </c>
      <c r="L32" s="3">
        <f t="shared" si="7"/>
        <v>7</v>
      </c>
      <c r="M32" s="3">
        <f t="shared" si="7"/>
        <v>7</v>
      </c>
    </row>
    <row r="33" spans="4:13" x14ac:dyDescent="0.25">
      <c r="D33" s="17" t="s">
        <v>38</v>
      </c>
      <c r="E33" s="18"/>
      <c r="F33" s="18"/>
      <c r="G33" s="18"/>
      <c r="H33" s="18"/>
      <c r="I33" s="18"/>
      <c r="J33" s="18"/>
      <c r="K33" s="18"/>
      <c r="L33" s="18"/>
      <c r="M33" s="19"/>
    </row>
    <row r="34" spans="4:13" x14ac:dyDescent="0.25">
      <c r="D34" s="3" t="s">
        <v>37</v>
      </c>
      <c r="E34" s="3">
        <f>COUNTIF(E27:E32,"")</f>
        <v>1</v>
      </c>
      <c r="F34" s="3">
        <f t="shared" ref="F34:M34" si="8">COUNTIF(F27:F32,"")</f>
        <v>0</v>
      </c>
      <c r="G34" s="3">
        <f t="shared" si="8"/>
        <v>1</v>
      </c>
      <c r="H34" s="3">
        <f t="shared" si="8"/>
        <v>1</v>
      </c>
      <c r="I34" s="3">
        <f t="shared" si="8"/>
        <v>1</v>
      </c>
      <c r="J34" s="3">
        <f t="shared" si="8"/>
        <v>1</v>
      </c>
      <c r="K34" s="3">
        <f t="shared" si="8"/>
        <v>3</v>
      </c>
      <c r="L34" s="3">
        <f t="shared" si="8"/>
        <v>5</v>
      </c>
      <c r="M34" s="3">
        <f t="shared" si="8"/>
        <v>2</v>
      </c>
    </row>
    <row r="37" spans="4:13" x14ac:dyDescent="0.25">
      <c r="D37" t="s">
        <v>54</v>
      </c>
      <c r="E37" s="23" t="s">
        <v>39</v>
      </c>
      <c r="F37" s="20" t="s">
        <v>40</v>
      </c>
      <c r="G37" s="22" t="s">
        <v>41</v>
      </c>
      <c r="H37" s="21" t="s">
        <v>42</v>
      </c>
      <c r="I37" s="24" t="s">
        <v>43</v>
      </c>
    </row>
    <row r="38" spans="4:13" x14ac:dyDescent="0.25">
      <c r="D38" t="s">
        <v>44</v>
      </c>
      <c r="E38" s="3">
        <v>4</v>
      </c>
      <c r="F38" s="3">
        <v>7</v>
      </c>
      <c r="G38" s="3">
        <v>9</v>
      </c>
      <c r="H38" s="3">
        <v>10</v>
      </c>
      <c r="I38" s="3">
        <v>4</v>
      </c>
    </row>
    <row r="39" spans="4:13" x14ac:dyDescent="0.25">
      <c r="D39" t="s">
        <v>45</v>
      </c>
      <c r="E39" s="3">
        <v>5</v>
      </c>
      <c r="F39" s="3">
        <v>10</v>
      </c>
      <c r="G39" s="3">
        <v>9</v>
      </c>
      <c r="H39" s="3">
        <v>7</v>
      </c>
      <c r="I39" s="3">
        <v>3</v>
      </c>
    </row>
    <row r="40" spans="4:13" x14ac:dyDescent="0.25">
      <c r="D40" t="s">
        <v>46</v>
      </c>
      <c r="E40" s="3">
        <v>3</v>
      </c>
      <c r="F40" s="3">
        <v>11</v>
      </c>
      <c r="G40" s="3">
        <v>10</v>
      </c>
      <c r="H40" s="3">
        <v>10</v>
      </c>
      <c r="I40" s="3">
        <v>8</v>
      </c>
    </row>
    <row r="41" spans="4:13" x14ac:dyDescent="0.25">
      <c r="D41" t="s">
        <v>47</v>
      </c>
      <c r="E41" s="3">
        <v>7</v>
      </c>
      <c r="F41" s="3">
        <v>11</v>
      </c>
      <c r="G41" s="3">
        <v>11</v>
      </c>
      <c r="H41" s="3">
        <v>12</v>
      </c>
      <c r="I41" s="3">
        <v>3</v>
      </c>
    </row>
    <row r="42" spans="4:13" x14ac:dyDescent="0.25">
      <c r="D42" t="s">
        <v>48</v>
      </c>
      <c r="E42" s="3">
        <v>8</v>
      </c>
      <c r="F42" s="3">
        <v>1</v>
      </c>
      <c r="G42" s="3">
        <v>12</v>
      </c>
      <c r="H42" s="3">
        <v>1</v>
      </c>
      <c r="I42" s="3">
        <v>10</v>
      </c>
    </row>
    <row r="43" spans="4:13" x14ac:dyDescent="0.25">
      <c r="D43" t="s">
        <v>49</v>
      </c>
      <c r="E43" s="3">
        <v>1</v>
      </c>
      <c r="F43" s="3">
        <v>0</v>
      </c>
      <c r="G43" s="3">
        <v>0</v>
      </c>
      <c r="H43" s="3">
        <v>2</v>
      </c>
      <c r="I43" s="3">
        <v>9</v>
      </c>
    </row>
    <row r="44" spans="4:13" x14ac:dyDescent="0.25">
      <c r="D44" t="s">
        <v>50</v>
      </c>
      <c r="E44" s="3">
        <v>9</v>
      </c>
      <c r="F44" s="3">
        <v>6</v>
      </c>
      <c r="G44" s="3">
        <v>1</v>
      </c>
      <c r="H44" s="3">
        <v>4</v>
      </c>
      <c r="I44" s="3">
        <v>6</v>
      </c>
    </row>
    <row r="45" spans="4:13" x14ac:dyDescent="0.25">
      <c r="D45" t="s">
        <v>51</v>
      </c>
      <c r="E45" s="3">
        <v>0</v>
      </c>
      <c r="F45" s="3">
        <v>7</v>
      </c>
      <c r="G45" s="3">
        <v>0</v>
      </c>
      <c r="H45" s="3">
        <v>4</v>
      </c>
      <c r="I45" s="3">
        <v>12</v>
      </c>
    </row>
    <row r="46" spans="4:13" x14ac:dyDescent="0.25">
      <c r="D46" t="s">
        <v>52</v>
      </c>
      <c r="E46" s="3">
        <v>8</v>
      </c>
      <c r="F46" s="3">
        <v>58</v>
      </c>
      <c r="G46" s="3">
        <v>6</v>
      </c>
      <c r="H46" s="3">
        <v>1</v>
      </c>
      <c r="I46" s="3">
        <v>4</v>
      </c>
    </row>
    <row r="47" spans="4:13" x14ac:dyDescent="0.25">
      <c r="D47" t="s">
        <v>53</v>
      </c>
      <c r="E47" s="3">
        <v>6</v>
      </c>
      <c r="F47" s="3">
        <v>-45</v>
      </c>
      <c r="G47" s="3">
        <v>13</v>
      </c>
      <c r="H47" s="3">
        <v>10</v>
      </c>
      <c r="I47" s="3">
        <v>13</v>
      </c>
    </row>
  </sheetData>
  <mergeCells count="4">
    <mergeCell ref="D33:M33"/>
    <mergeCell ref="A1:B1"/>
    <mergeCell ref="H9:J9"/>
    <mergeCell ref="D15:M15"/>
  </mergeCells>
  <conditionalFormatting sqref="L17:L23">
    <cfRule type="containsText" dxfId="12" priority="12" operator="containsText" text="SALE">
      <formula>NOT(ISERROR(SEARCH("SALE",L17)))</formula>
    </cfRule>
    <cfRule type="containsText" dxfId="11" priority="13" operator="containsText" text="BUY">
      <formula>NOT(ISERROR(SEARCH("BUY",L17)))</formula>
    </cfRule>
  </conditionalFormatting>
  <conditionalFormatting sqref="D27:M32 D34:M34 D33">
    <cfRule type="containsBlanks" dxfId="10" priority="11">
      <formula>LEN(TRIM(D27))=0</formula>
    </cfRule>
  </conditionalFormatting>
  <conditionalFormatting sqref="E38:F47">
    <cfRule type="cellIs" dxfId="9" priority="6" operator="lessThan">
      <formula>1</formula>
    </cfRule>
    <cfRule type="cellIs" dxfId="8" priority="7" operator="greaterThan">
      <formula>10</formula>
    </cfRule>
    <cfRule type="cellIs" dxfId="7" priority="8" operator="between">
      <formula>9</formula>
      <formula>10</formula>
    </cfRule>
    <cfRule type="cellIs" dxfId="6" priority="9" operator="between">
      <formula>5</formula>
      <formula>8</formula>
    </cfRule>
    <cfRule type="cellIs" dxfId="5" priority="10" operator="between">
      <formula>1</formula>
      <formula>4</formula>
    </cfRule>
  </conditionalFormatting>
  <conditionalFormatting sqref="G38:I47">
    <cfRule type="cellIs" dxfId="4" priority="1" operator="lessThan">
      <formula>1</formula>
    </cfRule>
    <cfRule type="cellIs" dxfId="3" priority="2" operator="greaterThan">
      <formula>10</formula>
    </cfRule>
    <cfRule type="cellIs" dxfId="2" priority="3" operator="between">
      <formula>9</formula>
      <formula>10</formula>
    </cfRule>
    <cfRule type="cellIs" dxfId="1" priority="4" operator="between">
      <formula>5</formula>
      <formula>8</formula>
    </cfRule>
    <cfRule type="cellIs" dxfId="0" priority="5" operator="between">
      <formula>1</formula>
      <formula>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2024-11-24T09:57:41Z</dcterms:created>
  <dcterms:modified xsi:type="dcterms:W3CDTF">2024-11-24T11:31:21Z</dcterms:modified>
</cp:coreProperties>
</file>