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University\Information and Communication Technology Fundamentals\"/>
    </mc:Choice>
  </mc:AlternateContent>
  <bookViews>
    <workbookView xWindow="0" yWindow="0" windowWidth="19200" windowHeight="8130" activeTab="2"/>
  </bookViews>
  <sheets>
    <sheet name="Pre" sheetId="3" r:id="rId1"/>
    <sheet name="My Calc" sheetId="4" r:id="rId2"/>
    <sheet name="All Students in ICT" sheetId="1" r:id="rId3"/>
    <sheet name="All Students in each subject" sheetId="5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3" i="4" l="1"/>
  <c r="E13" i="4"/>
  <c r="K13" i="4"/>
  <c r="G13" i="4"/>
  <c r="C11" i="4"/>
  <c r="E11" i="4"/>
  <c r="K11" i="4"/>
  <c r="G11" i="4"/>
  <c r="D18" i="5"/>
  <c r="D17" i="5"/>
  <c r="D16" i="5"/>
  <c r="D9" i="5"/>
  <c r="D8" i="5"/>
  <c r="D7" i="5"/>
  <c r="D4" i="5"/>
  <c r="D10" i="5"/>
  <c r="D20" i="5"/>
  <c r="D12" i="5"/>
  <c r="D5" i="5"/>
  <c r="D11" i="5"/>
  <c r="D13" i="5"/>
  <c r="D14" i="5"/>
  <c r="D15" i="5"/>
  <c r="D19" i="5"/>
  <c r="D21" i="5"/>
  <c r="D22" i="5"/>
  <c r="D23" i="5"/>
  <c r="D24" i="5"/>
  <c r="D25" i="5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I13" i="4"/>
  <c r="E4" i="1"/>
  <c r="H4" i="1" s="1"/>
  <c r="I11" i="4"/>
  <c r="J10" i="4"/>
  <c r="I10" i="4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D6" i="5" l="1"/>
</calcChain>
</file>

<file path=xl/sharedStrings.xml><?xml version="1.0" encoding="utf-8"?>
<sst xmlns="http://schemas.openxmlformats.org/spreadsheetml/2006/main" count="103" uniqueCount="56">
  <si>
    <t>Covered Topics</t>
  </si>
  <si>
    <t>Formatting and Styling</t>
  </si>
  <si>
    <t>Formulae and Functions</t>
  </si>
  <si>
    <t>Sr. No</t>
  </si>
  <si>
    <t>Name</t>
  </si>
  <si>
    <t>Reg#</t>
  </si>
  <si>
    <t>Marks</t>
  </si>
  <si>
    <t>Grade</t>
  </si>
  <si>
    <t>Points</t>
  </si>
  <si>
    <t>CH</t>
  </si>
  <si>
    <t>Sam</t>
  </si>
  <si>
    <t>Alice</t>
  </si>
  <si>
    <t>Justin</t>
  </si>
  <si>
    <t>Mukhtar</t>
  </si>
  <si>
    <t>Ali</t>
  </si>
  <si>
    <t>Ahmad</t>
  </si>
  <si>
    <t>Sami</t>
  </si>
  <si>
    <t>Aslam</t>
  </si>
  <si>
    <t>Samuel</t>
  </si>
  <si>
    <t>Chris</t>
  </si>
  <si>
    <t>Asad</t>
  </si>
  <si>
    <t>Inzimam</t>
  </si>
  <si>
    <t>Babar</t>
  </si>
  <si>
    <t>Grading Scale</t>
  </si>
  <si>
    <t>A</t>
  </si>
  <si>
    <t>B</t>
  </si>
  <si>
    <t>C</t>
  </si>
  <si>
    <t>D</t>
  </si>
  <si>
    <t>F</t>
  </si>
  <si>
    <t>GPA</t>
  </si>
  <si>
    <t>Hamid</t>
  </si>
  <si>
    <t>Naveed</t>
  </si>
  <si>
    <t>Sultan</t>
  </si>
  <si>
    <t>Naseer</t>
  </si>
  <si>
    <t>Ahad</t>
  </si>
  <si>
    <t>Fahad</t>
  </si>
  <si>
    <t>Talha</t>
  </si>
  <si>
    <t>Sameer</t>
  </si>
  <si>
    <t>Saad</t>
  </si>
  <si>
    <t>ICT</t>
  </si>
  <si>
    <t>Calculus</t>
  </si>
  <si>
    <t>Eng</t>
  </si>
  <si>
    <t>PF</t>
  </si>
  <si>
    <t>D.S</t>
  </si>
  <si>
    <t>Assignment Marks</t>
  </si>
  <si>
    <t>Quiz 1 Marks</t>
  </si>
  <si>
    <t>Total</t>
  </si>
  <si>
    <t>%age</t>
  </si>
  <si>
    <t>CGPA</t>
  </si>
  <si>
    <t>Mid Lab</t>
  </si>
  <si>
    <t>Mid Marks</t>
  </si>
  <si>
    <t>T.GP</t>
  </si>
  <si>
    <t>English</t>
  </si>
  <si>
    <t>Discrete Structures</t>
  </si>
  <si>
    <t>TAKEN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</si>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</sst>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F24BSCS-&quot;###"/>
  </numFmts>
  <fonts count="2" x14ac:knownFonts="1">
    <font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5" borderId="1" xfId="0" applyFill="1" applyBorder="1"/>
    <xf numFmtId="0" fontId="0" fillId="4" borderId="1" xfId="0" applyFill="1" applyBorder="1"/>
    <xf numFmtId="0" fontId="0" fillId="6" borderId="1" xfId="0" applyFill="1" applyBorder="1"/>
    <xf numFmtId="0" fontId="0" fillId="0" borderId="1" xfId="0" applyBorder="1" applyAlignment="1">
      <alignment textRotation="180"/>
    </xf>
    <xf numFmtId="0" fontId="0" fillId="0" borderId="1" xfId="0" applyBorder="1"/>
    <xf numFmtId="164" fontId="0" fillId="0" borderId="1" xfId="0" applyNumberFormat="1" applyBorder="1"/>
    <xf numFmtId="0" fontId="0" fillId="0" borderId="0" xfId="0" applyBorder="1" applyAlignment="1">
      <alignment textRotation="180"/>
    </xf>
    <xf numFmtId="0" fontId="0" fillId="0" borderId="0" xfId="0" applyBorder="1"/>
    <xf numFmtId="0" fontId="0" fillId="5" borderId="1" xfId="0" applyFill="1" applyBorder="1" applyAlignment="1">
      <alignment textRotation="180"/>
    </xf>
    <xf numFmtId="0" fontId="1" fillId="2" borderId="1" xfId="0" applyFont="1" applyFill="1" applyBorder="1"/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5" borderId="1" xfId="0" applyFill="1" applyBorder="1" applyAlignment="1">
      <alignment horizontal="center" vertical="center"/>
    </xf>
  </cellXfs>
  <cellStyles count="1">
    <cellStyle name="Normal" xfId="0" builtinId="0"/>
  </cellStyles>
  <dxfs count="3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D8"/>
  <sheetViews>
    <sheetView workbookViewId="0">
      <selection activeCell="F3" sqref="F3"/>
    </sheetView>
  </sheetViews>
  <sheetFormatPr defaultRowHeight="15" x14ac:dyDescent="0.25"/>
  <sheetData>
    <row r="5" spans="2:4" x14ac:dyDescent="0.25">
      <c r="B5" s="13" t="s">
        <v>0</v>
      </c>
      <c r="C5" s="13"/>
      <c r="D5" s="13"/>
    </row>
    <row r="6" spans="2:4" x14ac:dyDescent="0.25">
      <c r="B6" s="13"/>
      <c r="C6" s="13"/>
      <c r="D6" s="13"/>
    </row>
    <row r="7" spans="2:4" x14ac:dyDescent="0.25">
      <c r="B7" t="s">
        <v>1</v>
      </c>
    </row>
    <row r="8" spans="2:4" x14ac:dyDescent="0.25">
      <c r="B8" t="s">
        <v>2</v>
      </c>
    </row>
  </sheetData>
  <mergeCells count="1">
    <mergeCell ref="B5:D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L16"/>
  <sheetViews>
    <sheetView workbookViewId="0">
      <selection activeCell="I13" sqref="I13"/>
    </sheetView>
  </sheetViews>
  <sheetFormatPr defaultRowHeight="15" x14ac:dyDescent="0.25"/>
  <sheetData>
    <row r="3" spans="1:12" x14ac:dyDescent="0.25">
      <c r="C3" s="1" t="s">
        <v>39</v>
      </c>
      <c r="D3" s="1"/>
      <c r="E3" s="2" t="s">
        <v>41</v>
      </c>
      <c r="F3" s="2"/>
      <c r="G3" s="3" t="s">
        <v>43</v>
      </c>
      <c r="H3" s="3"/>
      <c r="I3" s="4" t="s">
        <v>40</v>
      </c>
      <c r="J3" s="4"/>
      <c r="K3" s="5" t="s">
        <v>42</v>
      </c>
      <c r="L3" s="5"/>
    </row>
    <row r="4" spans="1:12" x14ac:dyDescent="0.25">
      <c r="A4" t="s">
        <v>44</v>
      </c>
      <c r="C4" s="1"/>
      <c r="D4" s="12" t="s">
        <v>54</v>
      </c>
      <c r="E4" s="2"/>
      <c r="F4" s="12" t="s">
        <v>54</v>
      </c>
      <c r="G4" s="3"/>
      <c r="H4" s="3"/>
      <c r="I4" s="4">
        <v>9</v>
      </c>
      <c r="J4" s="4">
        <v>10</v>
      </c>
      <c r="K4" s="5"/>
      <c r="L4" s="12" t="s">
        <v>54</v>
      </c>
    </row>
    <row r="5" spans="1:12" x14ac:dyDescent="0.25">
      <c r="A5" t="s">
        <v>50</v>
      </c>
      <c r="C5" s="1"/>
      <c r="D5" s="12" t="s">
        <v>54</v>
      </c>
      <c r="E5" s="2"/>
      <c r="F5" s="12" t="s">
        <v>54</v>
      </c>
      <c r="G5" s="3"/>
      <c r="H5" s="12" t="s">
        <v>54</v>
      </c>
      <c r="I5" s="4">
        <v>10</v>
      </c>
      <c r="J5" s="4">
        <v>25</v>
      </c>
      <c r="K5" s="5"/>
      <c r="L5" s="12" t="s">
        <v>54</v>
      </c>
    </row>
    <row r="6" spans="1:12" x14ac:dyDescent="0.25">
      <c r="A6" t="s">
        <v>45</v>
      </c>
      <c r="C6" s="12"/>
      <c r="D6" s="12" t="s">
        <v>54</v>
      </c>
      <c r="E6" s="2"/>
      <c r="F6" s="2"/>
      <c r="G6" s="3"/>
      <c r="H6" s="12" t="s">
        <v>54</v>
      </c>
      <c r="I6" s="4">
        <v>4</v>
      </c>
      <c r="J6" s="4">
        <v>5</v>
      </c>
      <c r="K6" s="5"/>
      <c r="L6" s="5"/>
    </row>
    <row r="7" spans="1:12" x14ac:dyDescent="0.25">
      <c r="A7" t="s">
        <v>49</v>
      </c>
      <c r="C7" s="1"/>
      <c r="D7" s="1"/>
      <c r="E7" s="2"/>
      <c r="F7" s="2"/>
      <c r="G7" s="3"/>
      <c r="H7" s="3"/>
      <c r="I7" s="4"/>
      <c r="J7" s="4"/>
      <c r="K7" s="5"/>
      <c r="L7" s="12" t="s">
        <v>54</v>
      </c>
    </row>
    <row r="8" spans="1:12" x14ac:dyDescent="0.25">
      <c r="C8" s="1"/>
      <c r="D8" s="1"/>
      <c r="E8" s="2"/>
      <c r="F8" s="2"/>
      <c r="G8" s="3"/>
      <c r="H8" s="3"/>
      <c r="I8" s="4"/>
      <c r="J8" s="4"/>
      <c r="K8" s="5"/>
      <c r="L8" s="5"/>
    </row>
    <row r="9" spans="1:12" x14ac:dyDescent="0.25">
      <c r="C9" s="1"/>
      <c r="D9" s="1"/>
      <c r="E9" s="2"/>
      <c r="F9" s="2"/>
      <c r="G9" s="3"/>
      <c r="H9" s="3"/>
      <c r="I9" s="4"/>
      <c r="J9" s="4"/>
      <c r="K9" s="5"/>
      <c r="L9" s="5"/>
    </row>
    <row r="10" spans="1:12" x14ac:dyDescent="0.25">
      <c r="A10" t="s">
        <v>46</v>
      </c>
      <c r="C10" s="1"/>
      <c r="D10" s="1"/>
      <c r="E10" s="2"/>
      <c r="F10" s="2"/>
      <c r="G10" s="3"/>
      <c r="H10" s="3"/>
      <c r="I10" s="4">
        <f>SUM(I4:I6)</f>
        <v>23</v>
      </c>
      <c r="J10" s="4">
        <f>SUM(J4:J6)</f>
        <v>40</v>
      </c>
      <c r="K10" s="5"/>
      <c r="L10" s="5"/>
    </row>
    <row r="11" spans="1:12" x14ac:dyDescent="0.25">
      <c r="A11" t="s">
        <v>47</v>
      </c>
      <c r="C11" s="4" t="e">
        <f>(C10*100)/D10</f>
        <v>#DIV/0!</v>
      </c>
      <c r="D11" s="1"/>
      <c r="E11" s="4" t="e">
        <f>(E10*100)/F10</f>
        <v>#DIV/0!</v>
      </c>
      <c r="F11" s="2"/>
      <c r="G11" s="4" t="e">
        <f>(G10*100)/H10</f>
        <v>#DIV/0!</v>
      </c>
      <c r="H11" s="3"/>
      <c r="I11" s="4">
        <f>(I10*100)/J10</f>
        <v>57.5</v>
      </c>
      <c r="J11" s="4"/>
      <c r="K11" s="4" t="e">
        <f>(K10*100)/L10</f>
        <v>#DIV/0!</v>
      </c>
      <c r="L11" s="5"/>
    </row>
    <row r="12" spans="1:12" x14ac:dyDescent="0.25">
      <c r="A12" t="s">
        <v>29</v>
      </c>
      <c r="C12" s="1"/>
      <c r="D12" s="1"/>
      <c r="E12" s="2"/>
      <c r="F12" s="2"/>
      <c r="G12" s="3"/>
      <c r="H12" s="3"/>
      <c r="I12" s="4">
        <v>1</v>
      </c>
      <c r="J12" s="4"/>
      <c r="K12" s="5"/>
      <c r="L12" s="5"/>
    </row>
    <row r="13" spans="1:12" x14ac:dyDescent="0.25">
      <c r="A13" t="s">
        <v>7</v>
      </c>
      <c r="C13" s="4" t="e">
        <f>IF(C11&gt;=85,"A",IF(C11&gt;=70,"B",IF(C11&gt;=60,"C",IF(C11&gt;=50,"D","F"))))</f>
        <v>#DIV/0!</v>
      </c>
      <c r="D13" s="1"/>
      <c r="E13" s="4" t="e">
        <f>IF(E11&gt;=85,"A",IF(E11&gt;=70,"B",IF(E11&gt;=60,"C",IF(E11&gt;=50,"D","F"))))</f>
        <v>#DIV/0!</v>
      </c>
      <c r="F13" s="2"/>
      <c r="G13" s="4" t="e">
        <f>IF(G11&gt;=85,"A",IF(G11&gt;=70,"B",IF(G11&gt;=60,"C",IF(G11&gt;=50,"D","F"))))</f>
        <v>#DIV/0!</v>
      </c>
      <c r="H13" s="3"/>
      <c r="I13" s="4" t="str">
        <f>IF(I11&gt;=85,"A",IF(I11&gt;=70,"B",IF(I11&gt;=60,"C",IF(I11&gt;=50,"D","F"))))</f>
        <v>D</v>
      </c>
      <c r="J13" s="4"/>
      <c r="K13" s="4" t="e">
        <f>IF(K11&gt;=85,"A",IF(K11&gt;=70,"B",IF(K11&gt;=60,"C",IF(K11&gt;=50,"D","F"))))</f>
        <v>#DIV/0!</v>
      </c>
      <c r="L13" s="5"/>
    </row>
    <row r="14" spans="1:12" x14ac:dyDescent="0.25">
      <c r="C14" s="1"/>
      <c r="D14" s="1"/>
      <c r="E14" s="2"/>
      <c r="F14" s="2"/>
      <c r="G14" s="3"/>
      <c r="H14" s="3"/>
      <c r="I14" s="4"/>
      <c r="J14" s="4"/>
      <c r="K14" s="5"/>
      <c r="L14" s="5"/>
    </row>
    <row r="16" spans="1:12" x14ac:dyDescent="0.25">
      <c r="A16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P25"/>
  <sheetViews>
    <sheetView tabSelected="1" workbookViewId="0">
      <selection activeCell="D5" sqref="D5"/>
    </sheetView>
  </sheetViews>
  <sheetFormatPr defaultRowHeight="15" x14ac:dyDescent="0.25"/>
  <cols>
    <col min="1" max="1" width="7.42578125" customWidth="1"/>
    <col min="2" max="2" width="9.140625" customWidth="1"/>
    <col min="3" max="3" width="12" customWidth="1"/>
    <col min="4" max="6" width="9.140625" customWidth="1"/>
    <col min="7" max="7" width="4.28515625" customWidth="1"/>
    <col min="9" max="13" width="9.140625" customWidth="1"/>
  </cols>
  <sheetData>
    <row r="3" spans="1:16" ht="63.75" customHeight="1" x14ac:dyDescent="0.25">
      <c r="A3" s="6" t="s">
        <v>3</v>
      </c>
      <c r="B3" s="6" t="s">
        <v>4</v>
      </c>
      <c r="C3" s="6" t="s">
        <v>5</v>
      </c>
      <c r="D3" s="6" t="s">
        <v>6</v>
      </c>
      <c r="E3" s="6" t="s">
        <v>7</v>
      </c>
      <c r="F3" s="6" t="s">
        <v>8</v>
      </c>
      <c r="G3" s="6" t="s">
        <v>9</v>
      </c>
      <c r="H3" s="6" t="s">
        <v>29</v>
      </c>
      <c r="I3" s="6" t="s">
        <v>51</v>
      </c>
      <c r="J3" s="9"/>
      <c r="K3" s="9"/>
      <c r="L3" s="9"/>
      <c r="M3" s="9"/>
    </row>
    <row r="4" spans="1:16" x14ac:dyDescent="0.25">
      <c r="A4" s="7">
        <v>1</v>
      </c>
      <c r="B4" s="7" t="s">
        <v>10</v>
      </c>
      <c r="C4" s="8">
        <v>1</v>
      </c>
      <c r="D4" s="7">
        <v>73</v>
      </c>
      <c r="E4" s="7" t="str">
        <f>IF(D4&gt;=85,"A",IF(D4&gt;=70,"B",IF(D4&gt;=60,"C",IF(D4&gt;=50,"D","F"))))</f>
        <v>B</v>
      </c>
      <c r="F4" s="7"/>
      <c r="G4" s="7">
        <v>4</v>
      </c>
      <c r="H4" s="7">
        <f>IF(E4="A",4,IF(E4="B",3,IF(E4="C",2,IF(E4="D",1,IF(E4="F",0,error)))))</f>
        <v>3</v>
      </c>
      <c r="I4" s="7"/>
      <c r="J4" s="10"/>
      <c r="K4" s="10"/>
      <c r="L4" s="10"/>
      <c r="M4" s="10"/>
      <c r="O4" s="14" t="s">
        <v>23</v>
      </c>
      <c r="P4" s="15"/>
    </row>
    <row r="5" spans="1:16" x14ac:dyDescent="0.25">
      <c r="A5" s="7">
        <v>2</v>
      </c>
      <c r="B5" s="7" t="s">
        <v>11</v>
      </c>
      <c r="C5" s="8">
        <v>2</v>
      </c>
      <c r="D5" s="7">
        <v>77</v>
      </c>
      <c r="E5" s="7" t="str">
        <f t="shared" ref="E5:E25" si="0">IF(D5&gt;=85,"A",IF(D5&gt;=70,"B",IF(D5&gt;=60,"C",IF(D5&gt;=50,"D","F"))))</f>
        <v>B</v>
      </c>
      <c r="F5" s="7"/>
      <c r="G5" s="7">
        <v>4</v>
      </c>
      <c r="H5" s="7">
        <f>IF(E5="A",4,IF(E5="B",3,IF(E5="C",2,IF(E5="D",1,IF(E5="F",0,error)))))</f>
        <v>3</v>
      </c>
      <c r="I5" s="7"/>
      <c r="J5" s="10"/>
      <c r="K5" s="10"/>
      <c r="L5" s="10"/>
      <c r="M5" s="10"/>
      <c r="O5" s="7" t="s">
        <v>24</v>
      </c>
      <c r="P5" s="7">
        <v>4</v>
      </c>
    </row>
    <row r="6" spans="1:16" x14ac:dyDescent="0.25">
      <c r="A6" s="7">
        <v>3</v>
      </c>
      <c r="B6" s="7" t="s">
        <v>12</v>
      </c>
      <c r="C6" s="8">
        <v>3</v>
      </c>
      <c r="D6" s="7">
        <v>46</v>
      </c>
      <c r="E6" s="7" t="str">
        <f t="shared" si="0"/>
        <v>F</v>
      </c>
      <c r="F6" s="7"/>
      <c r="G6" s="7">
        <v>4</v>
      </c>
      <c r="H6" s="7">
        <f>IF(E6="A",4,IF(E6="B",3,IF(E6="C",2,IF(E6="D",1,IF(E6="F",0,error)))))</f>
        <v>0</v>
      </c>
      <c r="I6" s="7"/>
      <c r="J6" s="10"/>
      <c r="K6" s="10"/>
      <c r="L6" s="10"/>
      <c r="M6" s="10"/>
      <c r="O6" s="7" t="s">
        <v>25</v>
      </c>
      <c r="P6" s="7">
        <v>3</v>
      </c>
    </row>
    <row r="7" spans="1:16" x14ac:dyDescent="0.25">
      <c r="A7" s="7">
        <v>4</v>
      </c>
      <c r="B7" s="7" t="s">
        <v>13</v>
      </c>
      <c r="C7" s="8">
        <v>4</v>
      </c>
      <c r="D7" s="7">
        <v>88</v>
      </c>
      <c r="E7" s="7" t="str">
        <f t="shared" si="0"/>
        <v>A</v>
      </c>
      <c r="F7" s="7"/>
      <c r="G7" s="7">
        <v>4</v>
      </c>
      <c r="H7" s="7">
        <f>IF(E7="A",4,IF(E7="B",3,IF(E7="C",2,IF(E7="D",1,IF(E7="F",0,error)))))</f>
        <v>4</v>
      </c>
      <c r="I7" s="7"/>
      <c r="J7" s="10"/>
      <c r="K7" s="10"/>
      <c r="L7" s="10"/>
      <c r="M7" s="10"/>
      <c r="O7" s="7" t="s">
        <v>26</v>
      </c>
      <c r="P7" s="7">
        <v>2</v>
      </c>
    </row>
    <row r="8" spans="1:16" x14ac:dyDescent="0.25">
      <c r="A8" s="7">
        <v>5</v>
      </c>
      <c r="B8" s="7" t="s">
        <v>14</v>
      </c>
      <c r="C8" s="8">
        <v>5</v>
      </c>
      <c r="D8" s="7">
        <v>76</v>
      </c>
      <c r="E8" s="7" t="str">
        <f t="shared" si="0"/>
        <v>B</v>
      </c>
      <c r="F8" s="7"/>
      <c r="G8" s="7">
        <v>4</v>
      </c>
      <c r="H8" s="7">
        <f>IF(E8="A",4,IF(E8="B",3,IF(E8="C",2,IF(E8="D",1,IF(E8="F",0,error)))))</f>
        <v>3</v>
      </c>
      <c r="I8" s="7"/>
      <c r="J8" s="10"/>
      <c r="K8" s="10"/>
      <c r="L8" s="10"/>
      <c r="M8" s="10"/>
      <c r="O8" s="7" t="s">
        <v>27</v>
      </c>
      <c r="P8" s="7">
        <v>1</v>
      </c>
    </row>
    <row r="9" spans="1:16" x14ac:dyDescent="0.25">
      <c r="A9" s="7">
        <v>6</v>
      </c>
      <c r="B9" s="7" t="s">
        <v>15</v>
      </c>
      <c r="C9" s="8">
        <v>6</v>
      </c>
      <c r="D9" s="7">
        <v>77</v>
      </c>
      <c r="E9" s="7" t="str">
        <f t="shared" si="0"/>
        <v>B</v>
      </c>
      <c r="F9" s="7"/>
      <c r="G9" s="7">
        <v>4</v>
      </c>
      <c r="H9" s="7">
        <f>IF(E9="A",4,IF(E9="B",3,IF(E9="C",2,IF(E9="D",1,IF(E9="F",0,error)))))</f>
        <v>3</v>
      </c>
      <c r="I9" s="7"/>
      <c r="J9" s="10"/>
      <c r="K9" s="10"/>
      <c r="L9" s="10"/>
      <c r="M9" s="10"/>
      <c r="O9" s="7" t="s">
        <v>28</v>
      </c>
      <c r="P9" s="7">
        <v>0</v>
      </c>
    </row>
    <row r="10" spans="1:16" x14ac:dyDescent="0.25">
      <c r="A10" s="7">
        <v>7</v>
      </c>
      <c r="B10" s="7" t="s">
        <v>16</v>
      </c>
      <c r="C10" s="8">
        <v>7</v>
      </c>
      <c r="D10" s="7">
        <v>97</v>
      </c>
      <c r="E10" s="7" t="str">
        <f t="shared" si="0"/>
        <v>A</v>
      </c>
      <c r="F10" s="7"/>
      <c r="G10" s="7">
        <v>4</v>
      </c>
      <c r="H10" s="7">
        <f>IF(E10="A",4,IF(E10="B",3,IF(E10="C",2,IF(E10="D",1,IF(E10="F",0,error)))))</f>
        <v>4</v>
      </c>
      <c r="I10" s="7"/>
      <c r="J10" s="10"/>
      <c r="K10" s="10"/>
      <c r="L10" s="10"/>
      <c r="M10" s="10"/>
    </row>
    <row r="11" spans="1:16" x14ac:dyDescent="0.25">
      <c r="A11" s="7">
        <v>8</v>
      </c>
      <c r="B11" s="7" t="s">
        <v>17</v>
      </c>
      <c r="C11" s="8">
        <v>8</v>
      </c>
      <c r="D11" s="7">
        <v>87</v>
      </c>
      <c r="E11" s="7" t="str">
        <f t="shared" si="0"/>
        <v>A</v>
      </c>
      <c r="F11" s="7"/>
      <c r="G11" s="7">
        <v>4</v>
      </c>
      <c r="H11" s="7">
        <f>IF(E11="A",4,IF(E11="B",3,IF(E11="C",2,IF(E11="D",1,IF(E11="F",0,error)))))</f>
        <v>4</v>
      </c>
      <c r="I11" s="7"/>
      <c r="J11" s="10"/>
      <c r="K11" s="10"/>
      <c r="L11" s="10"/>
      <c r="M11" s="10"/>
    </row>
    <row r="12" spans="1:16" x14ac:dyDescent="0.25">
      <c r="A12" s="7">
        <v>9</v>
      </c>
      <c r="B12" s="7" t="s">
        <v>18</v>
      </c>
      <c r="C12" s="8">
        <v>9</v>
      </c>
      <c r="D12" s="7">
        <v>75</v>
      </c>
      <c r="E12" s="7" t="str">
        <f t="shared" si="0"/>
        <v>B</v>
      </c>
      <c r="F12" s="7"/>
      <c r="G12" s="7">
        <v>4</v>
      </c>
      <c r="H12" s="7">
        <f>IF(E12="A",4,IF(E12="B",3,IF(E12="C",2,IF(E12="D",1,IF(E12="F",0,error)))))</f>
        <v>3</v>
      </c>
      <c r="I12" s="7"/>
      <c r="J12" s="10"/>
      <c r="K12" s="10"/>
      <c r="L12" s="10"/>
      <c r="M12" s="10"/>
    </row>
    <row r="13" spans="1:16" x14ac:dyDescent="0.25">
      <c r="A13" s="7">
        <v>10</v>
      </c>
      <c r="B13" s="7" t="s">
        <v>19</v>
      </c>
      <c r="C13" s="8">
        <v>10</v>
      </c>
      <c r="D13" s="7">
        <v>77</v>
      </c>
      <c r="E13" s="7" t="str">
        <f t="shared" si="0"/>
        <v>B</v>
      </c>
      <c r="F13" s="7"/>
      <c r="G13" s="7">
        <v>4</v>
      </c>
      <c r="H13" s="7">
        <f>IF(E13="A",4,IF(E13="B",3,IF(E13="C",2,IF(E13="D",1,IF(E13="F",0,error)))))</f>
        <v>3</v>
      </c>
      <c r="I13" s="7"/>
      <c r="J13" s="10"/>
      <c r="K13" s="10"/>
      <c r="L13" s="10"/>
      <c r="M13" s="10"/>
    </row>
    <row r="14" spans="1:16" x14ac:dyDescent="0.25">
      <c r="A14" s="7">
        <v>11</v>
      </c>
      <c r="B14" s="7" t="s">
        <v>20</v>
      </c>
      <c r="C14" s="8">
        <v>11</v>
      </c>
      <c r="D14" s="7">
        <v>46</v>
      </c>
      <c r="E14" s="7" t="str">
        <f t="shared" si="0"/>
        <v>F</v>
      </c>
      <c r="F14" s="7"/>
      <c r="G14" s="7">
        <v>4</v>
      </c>
      <c r="H14" s="7">
        <f>IF(E14="A",4,IF(E14="B",3,IF(E14="C",2,IF(E14="D",1,IF(E14="F",0,error)))))</f>
        <v>0</v>
      </c>
      <c r="I14" s="7"/>
      <c r="J14" s="10"/>
      <c r="K14" s="10"/>
      <c r="L14" s="10"/>
      <c r="M14" s="10"/>
    </row>
    <row r="15" spans="1:16" x14ac:dyDescent="0.25">
      <c r="A15" s="7">
        <v>12</v>
      </c>
      <c r="B15" s="7" t="s">
        <v>21</v>
      </c>
      <c r="C15" s="8">
        <v>12</v>
      </c>
      <c r="D15" s="7">
        <v>88</v>
      </c>
      <c r="E15" s="7" t="str">
        <f t="shared" si="0"/>
        <v>A</v>
      </c>
      <c r="F15" s="7"/>
      <c r="G15" s="7">
        <v>4</v>
      </c>
      <c r="H15" s="7">
        <f>IF(E15="A",4,IF(E15="B",3,IF(E15="C",2,IF(E15="D",1,IF(E15="F",0,error)))))</f>
        <v>4</v>
      </c>
      <c r="I15" s="7"/>
      <c r="J15" s="10"/>
      <c r="K15" s="10"/>
      <c r="L15" s="10"/>
      <c r="M15" s="10"/>
    </row>
    <row r="16" spans="1:16" x14ac:dyDescent="0.25">
      <c r="A16" s="7">
        <v>13</v>
      </c>
      <c r="B16" s="7" t="s">
        <v>22</v>
      </c>
      <c r="C16" s="8">
        <v>13</v>
      </c>
      <c r="D16" s="7">
        <v>76</v>
      </c>
      <c r="E16" s="7" t="str">
        <f t="shared" si="0"/>
        <v>B</v>
      </c>
      <c r="F16" s="7"/>
      <c r="G16" s="7">
        <v>4</v>
      </c>
      <c r="H16" s="7">
        <f>IF(E16="A",4,IF(E16="B",3,IF(E16="C",2,IF(E16="D",1,IF(E16="F",0,error)))))</f>
        <v>3</v>
      </c>
      <c r="I16" s="7"/>
      <c r="J16" s="10"/>
      <c r="K16" s="10"/>
      <c r="L16" s="10"/>
      <c r="M16" s="10"/>
    </row>
    <row r="17" spans="1:13" x14ac:dyDescent="0.25">
      <c r="A17" s="7">
        <v>14</v>
      </c>
      <c r="B17" s="7" t="s">
        <v>30</v>
      </c>
      <c r="C17" s="8">
        <v>14</v>
      </c>
      <c r="D17" s="7">
        <v>56</v>
      </c>
      <c r="E17" s="7" t="str">
        <f t="shared" si="0"/>
        <v>D</v>
      </c>
      <c r="F17" s="7"/>
      <c r="G17" s="7">
        <v>4</v>
      </c>
      <c r="H17" s="7">
        <f>IF(E17="A",4,IF(E17="B",3,IF(E17="C",2,IF(E17="D",1,IF(E17="F",0,error)))))</f>
        <v>1</v>
      </c>
      <c r="I17" s="7"/>
      <c r="J17" s="10"/>
      <c r="K17" s="10"/>
      <c r="L17" s="10"/>
      <c r="M17" s="10"/>
    </row>
    <row r="18" spans="1:13" x14ac:dyDescent="0.25">
      <c r="A18" s="7">
        <v>15</v>
      </c>
      <c r="B18" s="7" t="s">
        <v>31</v>
      </c>
      <c r="C18" s="8">
        <v>15</v>
      </c>
      <c r="D18" s="7">
        <v>66</v>
      </c>
      <c r="E18" s="7" t="str">
        <f t="shared" si="0"/>
        <v>C</v>
      </c>
      <c r="F18" s="7"/>
      <c r="G18" s="7">
        <v>4</v>
      </c>
      <c r="H18" s="7">
        <f>IF(E18="A",4,IF(E18="B",3,IF(E18="C",2,IF(E18="D",1,IF(E18="F",0,error)))))</f>
        <v>2</v>
      </c>
      <c r="I18" s="7"/>
      <c r="J18" s="10"/>
      <c r="K18" s="10"/>
      <c r="L18" s="10"/>
      <c r="M18" s="10"/>
    </row>
    <row r="19" spans="1:13" x14ac:dyDescent="0.25">
      <c r="A19" s="7">
        <v>16</v>
      </c>
      <c r="B19" s="7" t="s">
        <v>32</v>
      </c>
      <c r="C19" s="8">
        <v>16</v>
      </c>
      <c r="D19" s="7">
        <v>87</v>
      </c>
      <c r="E19" s="7" t="str">
        <f t="shared" si="0"/>
        <v>A</v>
      </c>
      <c r="F19" s="7"/>
      <c r="G19" s="7">
        <v>4</v>
      </c>
      <c r="H19" s="7">
        <f>IF(E19="A",4,IF(E19="B",3,IF(E19="C",2,IF(E19="D",1,IF(E19="F",0,error)))))</f>
        <v>4</v>
      </c>
      <c r="I19" s="7"/>
      <c r="J19" s="10"/>
      <c r="K19" s="10"/>
      <c r="L19" s="10"/>
      <c r="M19" s="10"/>
    </row>
    <row r="20" spans="1:13" x14ac:dyDescent="0.25">
      <c r="A20" s="7">
        <v>17</v>
      </c>
      <c r="B20" s="7" t="s">
        <v>33</v>
      </c>
      <c r="C20" s="8">
        <v>17</v>
      </c>
      <c r="D20" s="7">
        <v>44</v>
      </c>
      <c r="E20" s="7" t="str">
        <f t="shared" si="0"/>
        <v>F</v>
      </c>
      <c r="F20" s="7"/>
      <c r="G20" s="7">
        <v>4</v>
      </c>
      <c r="H20" s="7">
        <f>IF(E20="A",4,IF(E20="B",3,IF(E20="C",2,IF(E20="D",1,IF(E20="F",0,error)))))</f>
        <v>0</v>
      </c>
      <c r="I20" s="7"/>
      <c r="J20" s="10"/>
      <c r="K20" s="10"/>
      <c r="L20" s="10"/>
      <c r="M20" s="10"/>
    </row>
    <row r="21" spans="1:13" x14ac:dyDescent="0.25">
      <c r="A21" s="7">
        <v>18</v>
      </c>
      <c r="B21" s="7" t="s">
        <v>34</v>
      </c>
      <c r="C21" s="8">
        <v>18</v>
      </c>
      <c r="D21" s="7">
        <v>77</v>
      </c>
      <c r="E21" s="7" t="str">
        <f t="shared" si="0"/>
        <v>B</v>
      </c>
      <c r="F21" s="7"/>
      <c r="G21" s="7">
        <v>4</v>
      </c>
      <c r="H21" s="7">
        <f>IF(E21="A",4,IF(E21="B",3,IF(E21="C",2,IF(E21="D",1,IF(E21="F",0,error)))))</f>
        <v>3</v>
      </c>
      <c r="I21" s="7"/>
      <c r="J21" s="10"/>
      <c r="K21" s="10"/>
      <c r="L21" s="10"/>
      <c r="M21" s="10"/>
    </row>
    <row r="22" spans="1:13" x14ac:dyDescent="0.25">
      <c r="A22" s="7">
        <v>19</v>
      </c>
      <c r="B22" s="7" t="s">
        <v>35</v>
      </c>
      <c r="C22" s="8">
        <v>19</v>
      </c>
      <c r="D22" s="7">
        <v>46</v>
      </c>
      <c r="E22" s="7" t="str">
        <f t="shared" si="0"/>
        <v>F</v>
      </c>
      <c r="F22" s="7"/>
      <c r="G22" s="7">
        <v>4</v>
      </c>
      <c r="H22" s="7">
        <f>IF(E22="A",4,IF(E22="B",3,IF(E22="C",2,IF(E22="D",1,IF(E22="F",0,error)))))</f>
        <v>0</v>
      </c>
      <c r="I22" s="7"/>
      <c r="J22" s="10"/>
      <c r="K22" s="10"/>
      <c r="L22" s="10"/>
      <c r="M22" s="10"/>
    </row>
    <row r="23" spans="1:13" x14ac:dyDescent="0.25">
      <c r="A23" s="7">
        <v>20</v>
      </c>
      <c r="B23" s="7" t="s">
        <v>36</v>
      </c>
      <c r="C23" s="8">
        <v>20</v>
      </c>
      <c r="D23" s="7">
        <v>88</v>
      </c>
      <c r="E23" s="7" t="str">
        <f t="shared" si="0"/>
        <v>A</v>
      </c>
      <c r="F23" s="7"/>
      <c r="G23" s="7">
        <v>4</v>
      </c>
      <c r="H23" s="7">
        <f>IF(E23="A",4,IF(E23="B",3,IF(E23="C",2,IF(E23="D",1,IF(E23="F",0,error)))))</f>
        <v>4</v>
      </c>
      <c r="I23" s="7"/>
      <c r="J23" s="10"/>
      <c r="K23" s="10"/>
      <c r="L23" s="10"/>
      <c r="M23" s="10"/>
    </row>
    <row r="24" spans="1:13" x14ac:dyDescent="0.25">
      <c r="A24" s="7">
        <v>21</v>
      </c>
      <c r="B24" s="7" t="s">
        <v>37</v>
      </c>
      <c r="C24" s="8">
        <v>21</v>
      </c>
      <c r="D24" s="7">
        <v>76</v>
      </c>
      <c r="E24" s="7" t="str">
        <f t="shared" si="0"/>
        <v>B</v>
      </c>
      <c r="F24" s="7"/>
      <c r="G24" s="7">
        <v>4</v>
      </c>
      <c r="H24" s="7">
        <f>IF(E24="A",4,IF(E24="B",3,IF(E24="C",2,IF(E24="D",1,IF(E24="F",0,error)))))</f>
        <v>3</v>
      </c>
      <c r="I24" s="7"/>
      <c r="J24" s="10"/>
      <c r="K24" s="10"/>
      <c r="L24" s="10"/>
      <c r="M24" s="10"/>
    </row>
    <row r="25" spans="1:13" x14ac:dyDescent="0.25">
      <c r="A25" s="7">
        <v>22</v>
      </c>
      <c r="B25" s="7" t="s">
        <v>38</v>
      </c>
      <c r="C25" s="8">
        <v>22</v>
      </c>
      <c r="D25" s="7">
        <v>77</v>
      </c>
      <c r="E25" s="7" t="str">
        <f t="shared" si="0"/>
        <v>B</v>
      </c>
      <c r="F25" s="7"/>
      <c r="G25" s="7">
        <v>4</v>
      </c>
      <c r="H25" s="7">
        <f>IF(E25="A",4,IF(E25="B",3,IF(E25="C",2,IF(E25="D",1,IF(E25="F",0,error)))))</f>
        <v>3</v>
      </c>
      <c r="I25" s="7"/>
      <c r="J25" s="10"/>
      <c r="K25" s="10"/>
      <c r="L25" s="10"/>
      <c r="M25" s="10"/>
    </row>
  </sheetData>
  <mergeCells count="1">
    <mergeCell ref="O4:P4"/>
  </mergeCells>
  <conditionalFormatting sqref="H4:H25">
    <cfRule type="cellIs" dxfId="2" priority="1" operator="between">
      <formula>0</formula>
      <formula>2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25"/>
  <sheetViews>
    <sheetView workbookViewId="0">
      <selection activeCell="O12" sqref="O12"/>
    </sheetView>
  </sheetViews>
  <sheetFormatPr defaultRowHeight="15" x14ac:dyDescent="0.25"/>
  <cols>
    <col min="1" max="1" width="7.42578125" customWidth="1"/>
    <col min="2" max="2" width="9.140625" customWidth="1"/>
    <col min="3" max="3" width="12" customWidth="1"/>
    <col min="4" max="8" width="9.140625" customWidth="1"/>
  </cols>
  <sheetData>
    <row r="2" spans="1:12" x14ac:dyDescent="0.25">
      <c r="E2" s="16" t="s">
        <v>29</v>
      </c>
      <c r="F2" s="16"/>
      <c r="G2" s="16"/>
      <c r="H2" s="16"/>
      <c r="I2" s="16"/>
    </row>
    <row r="3" spans="1:12" ht="75" customHeight="1" x14ac:dyDescent="0.25">
      <c r="A3" s="6" t="s">
        <v>3</v>
      </c>
      <c r="B3" s="6" t="s">
        <v>4</v>
      </c>
      <c r="C3" s="6" t="s">
        <v>5</v>
      </c>
      <c r="D3" s="6" t="s">
        <v>48</v>
      </c>
      <c r="E3" s="11" t="s">
        <v>40</v>
      </c>
      <c r="F3" s="11" t="s">
        <v>39</v>
      </c>
      <c r="G3" s="11" t="s">
        <v>42</v>
      </c>
      <c r="H3" s="11" t="s">
        <v>52</v>
      </c>
      <c r="I3" s="11" t="s">
        <v>53</v>
      </c>
    </row>
    <row r="4" spans="1:12" x14ac:dyDescent="0.25">
      <c r="A4" s="7">
        <v>1</v>
      </c>
      <c r="B4" s="7" t="s">
        <v>10</v>
      </c>
      <c r="C4" s="8">
        <v>1</v>
      </c>
      <c r="D4" s="7">
        <f>AVERAGE(E4:I4)</f>
        <v>3.4</v>
      </c>
      <c r="E4" s="7">
        <v>3</v>
      </c>
      <c r="F4" s="7">
        <v>4</v>
      </c>
      <c r="G4" s="7">
        <v>4</v>
      </c>
      <c r="H4" s="7">
        <v>3</v>
      </c>
      <c r="I4" s="7">
        <v>3</v>
      </c>
      <c r="K4" s="14" t="s">
        <v>23</v>
      </c>
      <c r="L4" s="15"/>
    </row>
    <row r="5" spans="1:12" x14ac:dyDescent="0.25">
      <c r="A5" s="7">
        <v>2</v>
      </c>
      <c r="B5" s="7" t="s">
        <v>11</v>
      </c>
      <c r="C5" s="8">
        <v>2</v>
      </c>
      <c r="D5" s="7">
        <f t="shared" ref="D5:D25" si="0">AVERAGE(E5:I5)</f>
        <v>3</v>
      </c>
      <c r="E5" s="7">
        <v>3</v>
      </c>
      <c r="F5" s="7">
        <v>3</v>
      </c>
      <c r="G5" s="7">
        <v>3</v>
      </c>
      <c r="H5" s="7">
        <v>3</v>
      </c>
      <c r="I5" s="7">
        <v>3</v>
      </c>
      <c r="K5" s="7" t="s">
        <v>24</v>
      </c>
      <c r="L5" s="7">
        <v>4</v>
      </c>
    </row>
    <row r="6" spans="1:12" x14ac:dyDescent="0.25">
      <c r="A6" s="7">
        <v>3</v>
      </c>
      <c r="B6" s="7" t="s">
        <v>12</v>
      </c>
      <c r="C6" s="8">
        <v>3</v>
      </c>
      <c r="D6" s="7">
        <f t="shared" si="0"/>
        <v>2.4</v>
      </c>
      <c r="E6" s="7">
        <v>0</v>
      </c>
      <c r="F6" s="7">
        <v>3</v>
      </c>
      <c r="G6" s="7">
        <v>4</v>
      </c>
      <c r="H6" s="7">
        <v>3</v>
      </c>
      <c r="I6" s="7">
        <v>2</v>
      </c>
      <c r="K6" s="7" t="s">
        <v>25</v>
      </c>
      <c r="L6" s="7">
        <v>3</v>
      </c>
    </row>
    <row r="7" spans="1:12" x14ac:dyDescent="0.25">
      <c r="A7" s="7">
        <v>4</v>
      </c>
      <c r="B7" s="7" t="s">
        <v>13</v>
      </c>
      <c r="C7" s="8">
        <v>4</v>
      </c>
      <c r="D7" s="7">
        <f t="shared" si="0"/>
        <v>3.6</v>
      </c>
      <c r="E7" s="7">
        <v>4</v>
      </c>
      <c r="F7" s="7">
        <v>3</v>
      </c>
      <c r="G7" s="7">
        <v>4</v>
      </c>
      <c r="H7" s="7">
        <v>4</v>
      </c>
      <c r="I7" s="7">
        <v>3</v>
      </c>
      <c r="K7" s="7" t="s">
        <v>26</v>
      </c>
      <c r="L7" s="7">
        <v>2</v>
      </c>
    </row>
    <row r="8" spans="1:12" x14ac:dyDescent="0.25">
      <c r="A8" s="7">
        <v>5</v>
      </c>
      <c r="B8" s="7" t="s">
        <v>14</v>
      </c>
      <c r="C8" s="8">
        <v>5</v>
      </c>
      <c r="D8" s="7">
        <f t="shared" si="0"/>
        <v>3</v>
      </c>
      <c r="E8" s="7">
        <v>3</v>
      </c>
      <c r="F8" s="7">
        <v>4</v>
      </c>
      <c r="G8" s="7">
        <v>2</v>
      </c>
      <c r="H8" s="7">
        <v>3</v>
      </c>
      <c r="I8" s="7">
        <v>3</v>
      </c>
      <c r="K8" s="7" t="s">
        <v>27</v>
      </c>
      <c r="L8" s="7">
        <v>1</v>
      </c>
    </row>
    <row r="9" spans="1:12" x14ac:dyDescent="0.25">
      <c r="A9" s="7">
        <v>6</v>
      </c>
      <c r="B9" s="7" t="s">
        <v>15</v>
      </c>
      <c r="C9" s="8">
        <v>6</v>
      </c>
      <c r="D9" s="7">
        <f t="shared" si="0"/>
        <v>3.2</v>
      </c>
      <c r="E9" s="7">
        <v>3</v>
      </c>
      <c r="F9" s="7">
        <v>3</v>
      </c>
      <c r="G9" s="7">
        <v>3</v>
      </c>
      <c r="H9" s="7">
        <v>3</v>
      </c>
      <c r="I9" s="7">
        <v>4</v>
      </c>
      <c r="K9" s="7" t="s">
        <v>28</v>
      </c>
      <c r="L9" s="7">
        <v>0</v>
      </c>
    </row>
    <row r="10" spans="1:12" x14ac:dyDescent="0.25">
      <c r="A10" s="7">
        <v>7</v>
      </c>
      <c r="B10" s="7" t="s">
        <v>16</v>
      </c>
      <c r="C10" s="8">
        <v>7</v>
      </c>
      <c r="D10" s="7">
        <f t="shared" si="0"/>
        <v>3.2</v>
      </c>
      <c r="E10" s="7">
        <v>3</v>
      </c>
      <c r="F10" s="7">
        <v>3</v>
      </c>
      <c r="G10" s="7">
        <v>3</v>
      </c>
      <c r="H10" s="7">
        <v>4</v>
      </c>
      <c r="I10" s="7">
        <v>3</v>
      </c>
    </row>
    <row r="11" spans="1:12" x14ac:dyDescent="0.25">
      <c r="A11" s="7">
        <v>8</v>
      </c>
      <c r="B11" s="7" t="s">
        <v>17</v>
      </c>
      <c r="C11" s="8">
        <v>8</v>
      </c>
      <c r="D11" s="7">
        <f t="shared" si="0"/>
        <v>3.2</v>
      </c>
      <c r="E11" s="7">
        <v>2</v>
      </c>
      <c r="F11" s="7">
        <v>4</v>
      </c>
      <c r="G11" s="7">
        <v>4</v>
      </c>
      <c r="H11" s="7">
        <v>3</v>
      </c>
      <c r="I11" s="7">
        <v>3</v>
      </c>
    </row>
    <row r="12" spans="1:12" x14ac:dyDescent="0.25">
      <c r="A12" s="7">
        <v>9</v>
      </c>
      <c r="B12" s="7" t="s">
        <v>18</v>
      </c>
      <c r="C12" s="8">
        <v>9</v>
      </c>
      <c r="D12" s="7">
        <f t="shared" si="0"/>
        <v>2.8</v>
      </c>
      <c r="E12" s="7">
        <v>3</v>
      </c>
      <c r="F12" s="7">
        <v>2</v>
      </c>
      <c r="G12" s="7">
        <v>2</v>
      </c>
      <c r="H12" s="7">
        <v>4</v>
      </c>
      <c r="I12" s="7">
        <v>3</v>
      </c>
    </row>
    <row r="13" spans="1:12" x14ac:dyDescent="0.25">
      <c r="A13" s="7">
        <v>10</v>
      </c>
      <c r="B13" s="7" t="s">
        <v>19</v>
      </c>
      <c r="C13" s="8">
        <v>10</v>
      </c>
      <c r="D13" s="7">
        <f t="shared" si="0"/>
        <v>3</v>
      </c>
      <c r="E13" s="7">
        <v>3</v>
      </c>
      <c r="F13" s="7">
        <v>3</v>
      </c>
      <c r="G13" s="7">
        <v>3</v>
      </c>
      <c r="H13" s="7">
        <v>3</v>
      </c>
      <c r="I13" s="7">
        <v>3</v>
      </c>
    </row>
    <row r="14" spans="1:12" x14ac:dyDescent="0.25">
      <c r="A14" s="7">
        <v>11</v>
      </c>
      <c r="B14" s="7" t="s">
        <v>20</v>
      </c>
      <c r="C14" s="8">
        <v>11</v>
      </c>
      <c r="D14" s="7">
        <f t="shared" si="0"/>
        <v>3.2</v>
      </c>
      <c r="E14" s="7">
        <v>4</v>
      </c>
      <c r="F14" s="7">
        <v>3</v>
      </c>
      <c r="G14" s="7">
        <v>2</v>
      </c>
      <c r="H14" s="7">
        <v>3</v>
      </c>
      <c r="I14" s="7">
        <v>4</v>
      </c>
    </row>
    <row r="15" spans="1:12" x14ac:dyDescent="0.25">
      <c r="A15" s="7">
        <v>12</v>
      </c>
      <c r="B15" s="7" t="s">
        <v>21</v>
      </c>
      <c r="C15" s="8">
        <v>12</v>
      </c>
      <c r="D15" s="7">
        <f t="shared" si="0"/>
        <v>3.2</v>
      </c>
      <c r="E15" s="7">
        <v>4</v>
      </c>
      <c r="F15" s="7">
        <v>3</v>
      </c>
      <c r="G15" s="7">
        <v>4</v>
      </c>
      <c r="H15" s="7">
        <v>2</v>
      </c>
      <c r="I15" s="7">
        <v>3</v>
      </c>
    </row>
    <row r="16" spans="1:12" x14ac:dyDescent="0.25">
      <c r="A16" s="7">
        <v>13</v>
      </c>
      <c r="B16" s="7" t="s">
        <v>22</v>
      </c>
      <c r="C16" s="8">
        <v>13</v>
      </c>
      <c r="D16" s="7">
        <f t="shared" si="0"/>
        <v>3</v>
      </c>
      <c r="E16" s="7">
        <v>3</v>
      </c>
      <c r="F16" s="7">
        <v>3</v>
      </c>
      <c r="G16" s="7">
        <v>3</v>
      </c>
      <c r="H16" s="7">
        <v>3</v>
      </c>
      <c r="I16" s="7">
        <v>3</v>
      </c>
    </row>
    <row r="17" spans="1:9" x14ac:dyDescent="0.25">
      <c r="A17" s="7">
        <v>14</v>
      </c>
      <c r="B17" s="7" t="s">
        <v>30</v>
      </c>
      <c r="C17" s="8">
        <v>14</v>
      </c>
      <c r="D17" s="7">
        <f t="shared" si="0"/>
        <v>2.8</v>
      </c>
      <c r="E17" s="7">
        <v>3</v>
      </c>
      <c r="F17" s="7">
        <v>4</v>
      </c>
      <c r="G17" s="7">
        <v>2</v>
      </c>
      <c r="H17" s="7">
        <v>4</v>
      </c>
      <c r="I17" s="7">
        <v>1</v>
      </c>
    </row>
    <row r="18" spans="1:9" x14ac:dyDescent="0.25">
      <c r="A18" s="7">
        <v>15</v>
      </c>
      <c r="B18" s="7" t="s">
        <v>31</v>
      </c>
      <c r="C18" s="8">
        <v>15</v>
      </c>
      <c r="D18" s="7">
        <f t="shared" si="0"/>
        <v>3.2</v>
      </c>
      <c r="E18" s="7">
        <v>3</v>
      </c>
      <c r="F18" s="7">
        <v>4</v>
      </c>
      <c r="G18" s="7">
        <v>4</v>
      </c>
      <c r="H18" s="7">
        <v>2</v>
      </c>
      <c r="I18" s="7">
        <v>3</v>
      </c>
    </row>
    <row r="19" spans="1:9" x14ac:dyDescent="0.25">
      <c r="A19" s="7">
        <v>16</v>
      </c>
      <c r="B19" s="7" t="s">
        <v>32</v>
      </c>
      <c r="C19" s="8">
        <v>16</v>
      </c>
      <c r="D19" s="7">
        <f t="shared" si="0"/>
        <v>3.4</v>
      </c>
      <c r="E19" s="7">
        <v>4</v>
      </c>
      <c r="F19" s="7">
        <v>4</v>
      </c>
      <c r="G19" s="7">
        <v>3</v>
      </c>
      <c r="H19" s="7">
        <v>3</v>
      </c>
      <c r="I19" s="7">
        <v>3</v>
      </c>
    </row>
    <row r="20" spans="1:9" x14ac:dyDescent="0.25">
      <c r="A20" s="7">
        <v>17</v>
      </c>
      <c r="B20" s="7" t="s">
        <v>33</v>
      </c>
      <c r="C20" s="8">
        <v>17</v>
      </c>
      <c r="D20" s="7">
        <f t="shared" si="0"/>
        <v>3.2</v>
      </c>
      <c r="E20" s="7">
        <v>4</v>
      </c>
      <c r="F20" s="7">
        <v>2</v>
      </c>
      <c r="G20" s="7">
        <v>3</v>
      </c>
      <c r="H20" s="7">
        <v>3</v>
      </c>
      <c r="I20" s="7">
        <v>4</v>
      </c>
    </row>
    <row r="21" spans="1:9" x14ac:dyDescent="0.25">
      <c r="A21" s="7">
        <v>18</v>
      </c>
      <c r="B21" s="7" t="s">
        <v>34</v>
      </c>
      <c r="C21" s="8">
        <v>18</v>
      </c>
      <c r="D21" s="7">
        <f t="shared" si="0"/>
        <v>2.6</v>
      </c>
      <c r="E21" s="7">
        <v>3</v>
      </c>
      <c r="F21" s="7">
        <v>3</v>
      </c>
      <c r="G21" s="7">
        <v>4</v>
      </c>
      <c r="H21" s="7">
        <v>3</v>
      </c>
      <c r="I21" s="7">
        <v>0</v>
      </c>
    </row>
    <row r="22" spans="1:9" x14ac:dyDescent="0.25">
      <c r="A22" s="7">
        <v>19</v>
      </c>
      <c r="B22" s="7" t="s">
        <v>35</v>
      </c>
      <c r="C22" s="8">
        <v>19</v>
      </c>
      <c r="D22" s="7">
        <f t="shared" si="0"/>
        <v>3</v>
      </c>
      <c r="E22" s="7">
        <v>2</v>
      </c>
      <c r="F22" s="7">
        <v>4</v>
      </c>
      <c r="G22" s="7">
        <v>3</v>
      </c>
      <c r="H22" s="7">
        <v>3</v>
      </c>
      <c r="I22" s="7">
        <v>3</v>
      </c>
    </row>
    <row r="23" spans="1:9" x14ac:dyDescent="0.25">
      <c r="A23" s="7">
        <v>20</v>
      </c>
      <c r="B23" s="7" t="s">
        <v>36</v>
      </c>
      <c r="C23" s="8">
        <v>20</v>
      </c>
      <c r="D23" s="7">
        <f t="shared" si="0"/>
        <v>3.4</v>
      </c>
      <c r="E23" s="7">
        <v>4</v>
      </c>
      <c r="F23" s="7">
        <v>3</v>
      </c>
      <c r="G23" s="7">
        <v>4</v>
      </c>
      <c r="H23" s="7">
        <v>4</v>
      </c>
      <c r="I23" s="7">
        <v>2</v>
      </c>
    </row>
    <row r="24" spans="1:9" x14ac:dyDescent="0.25">
      <c r="A24" s="7">
        <v>21</v>
      </c>
      <c r="B24" s="7" t="s">
        <v>37</v>
      </c>
      <c r="C24" s="8">
        <v>21</v>
      </c>
      <c r="D24" s="7">
        <f t="shared" si="0"/>
        <v>3</v>
      </c>
      <c r="E24" s="7">
        <v>3</v>
      </c>
      <c r="F24" s="7">
        <v>4</v>
      </c>
      <c r="G24" s="7" t="s">
        <v>55</v>
      </c>
      <c r="H24" s="7">
        <v>2</v>
      </c>
      <c r="I24" s="7">
        <v>3</v>
      </c>
    </row>
    <row r="25" spans="1:9" x14ac:dyDescent="0.25">
      <c r="A25" s="7">
        <v>22</v>
      </c>
      <c r="B25" s="7" t="s">
        <v>38</v>
      </c>
      <c r="C25" s="8">
        <v>22</v>
      </c>
      <c r="D25" s="7">
        <f t="shared" si="0"/>
        <v>3.2</v>
      </c>
      <c r="E25" s="7">
        <v>3</v>
      </c>
      <c r="F25" s="7">
        <v>3</v>
      </c>
      <c r="G25" s="7">
        <v>3</v>
      </c>
      <c r="H25" s="7">
        <v>4</v>
      </c>
      <c r="I25" s="7">
        <v>3</v>
      </c>
    </row>
  </sheetData>
  <mergeCells count="2">
    <mergeCell ref="K4:L4"/>
    <mergeCell ref="E2:I2"/>
  </mergeCells>
  <conditionalFormatting sqref="F4:I25">
    <cfRule type="cellIs" dxfId="1" priority="1" operator="between">
      <formula>0</formula>
      <formula>2</formula>
    </cfRule>
  </conditionalFormatting>
  <conditionalFormatting sqref="E4:E25">
    <cfRule type="cellIs" dxfId="0" priority="2" operator="between">
      <formula>0</formula>
      <formula>2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Pre</vt:lpstr>
      <vt:lpstr>My Calc</vt:lpstr>
      <vt:lpstr>All Students in ICT</vt:lpstr>
      <vt:lpstr>All Students in each subject</vt:lpstr>
    </vt:vector>
  </TitlesOfParts>
  <Company>MRT www.Win2Farsi.com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Moorche</dc:creator>
  <cp:lastModifiedBy>Moorche</cp:lastModifiedBy>
  <dcterms:created xsi:type="dcterms:W3CDTF">2024-11-22T17:21:31Z</dcterms:created>
  <dcterms:modified xsi:type="dcterms:W3CDTF">2024-11-24T07:57:40Z</dcterms:modified>
</cp:coreProperties>
</file>